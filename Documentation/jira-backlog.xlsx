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Jira Import" sheetId="1" state="visible" r:id="rId1"/>
    <sheet xmlns:r="http://schemas.openxmlformats.org/officeDocument/2006/relationships" name="Progress" sheetId="2" state="visible" r:id="rId2"/>
    <sheet xmlns:r="http://schemas.openxmlformats.org/officeDocument/2006/relationships" name="Epic Summary" sheetId="3" state="visible" r:id="rId3"/>
    <sheet xmlns:r="http://schemas.openxmlformats.org/officeDocument/2006/relationships" name="Milestone Plan" sheetId="4" state="visible" r:id="rId4"/>
    <sheet xmlns:r="http://schemas.openxmlformats.org/officeDocument/2006/relationships" name="Component Load" sheetId="5" state="visible" r:id="rId5"/>
    <sheet xmlns:r="http://schemas.openxmlformats.org/officeDocument/2006/relationships" name="Import Guide" sheetId="6" state="visible" r:id="rId6"/>
  </sheets>
  <definedNames>
    <definedName name="_xlnm._FilterDatabase" localSheetId="0" hidden="1">'Jira Import'!$A$1:$M$273</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14202E"/>
      <sz val="10"/>
    </font>
    <font>
      <name val="Arial"/>
      <charset val="1"/>
      <family val="0"/>
      <color rgb="FF14202E"/>
      <sz val="10"/>
    </font>
    <font>
      <name val="Arial"/>
      <charset val="1"/>
      <family val="0"/>
      <b val="1"/>
      <color rgb="FF0000FF"/>
      <sz val="10"/>
    </font>
    <font>
      <name val="Arial"/>
      <charset val="1"/>
      <family val="0"/>
      <i val="1"/>
      <color rgb="FF5B6B7C"/>
      <sz val="9"/>
    </font>
    <font>
      <name val="Arial"/>
      <charset val="1"/>
      <family val="0"/>
      <b val="1"/>
      <color rgb="FF14202E"/>
      <sz val="11"/>
    </font>
    <font>
      <b val="1"/>
    </font>
  </fonts>
  <fills count="9">
    <fill>
      <patternFill/>
    </fill>
    <fill>
      <patternFill patternType="gray125"/>
    </fill>
    <fill>
      <patternFill patternType="solid">
        <fgColor rgb="FF14202E"/>
        <bgColor rgb="FF003300"/>
      </patternFill>
    </fill>
    <fill>
      <patternFill patternType="solid">
        <fgColor rgb="FFE8ECEF"/>
        <bgColor rgb="FFF7F9FA"/>
      </patternFill>
    </fill>
    <fill>
      <patternFill patternType="solid">
        <fgColor rgb="FFF7F9FA"/>
        <bgColor rgb="FFFFFFFF"/>
      </patternFill>
    </fill>
    <fill>
      <patternFill patternType="solid">
        <fgColor rgb="00D9EAD3"/>
      </patternFill>
    </fill>
    <fill>
      <patternFill patternType="solid">
        <fgColor rgb="00FFF2CC"/>
      </patternFill>
    </fill>
    <fill>
      <patternFill patternType="solid">
        <fgColor rgb="00F3F3F3"/>
      </patternFill>
    </fill>
    <fill>
      <patternFill patternType="solid">
        <fgColor rgb="00F4CCCC"/>
      </patternFill>
    </fill>
  </fills>
  <borders count="2">
    <border>
      <left/>
      <right/>
      <top/>
      <bottom/>
      <diagonal/>
    </border>
    <border>
      <left style="thin">
        <color rgb="FFD4D8DC"/>
      </left>
      <right style="thin">
        <color rgb="FFD4D8DC"/>
      </right>
      <top style="thin">
        <color rgb="FFD4D8DC"/>
      </top>
      <bottom style="thin">
        <color rgb="FFD4D8D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0">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3" borderId="1" applyAlignment="1" pivotButton="0" quotePrefix="0" xfId="0">
      <alignment horizontal="left" vertical="top"/>
    </xf>
    <xf numFmtId="0" fontId="5" fillId="3" borderId="1" applyAlignment="1" pivotButton="0" quotePrefix="0" xfId="0">
      <alignment horizontal="left" vertical="top" wrapText="1"/>
    </xf>
    <xf numFmtId="0" fontId="5" fillId="3" borderId="1" applyAlignment="1" pivotButton="0" quotePrefix="0" xfId="0">
      <alignment horizontal="center" vertical="top"/>
    </xf>
    <xf numFmtId="0" fontId="6" fillId="4" borderId="1" applyAlignment="1" pivotButton="0" quotePrefix="0" xfId="0">
      <alignment horizontal="left" vertical="top"/>
    </xf>
    <xf numFmtId="0" fontId="6" fillId="4" borderId="1" applyAlignment="1" pivotButton="0" quotePrefix="0" xfId="0">
      <alignment horizontal="left" vertical="top" wrapText="1"/>
    </xf>
    <xf numFmtId="0" fontId="6" fillId="4"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general" vertical="top" wrapText="1" indent="2"/>
    </xf>
    <xf numFmtId="0" fontId="6" fillId="0" borderId="1" applyAlignment="1" pivotButton="0" quotePrefix="0" xfId="0">
      <alignment horizontal="left" vertical="top" wrapText="1"/>
    </xf>
    <xf numFmtId="0" fontId="6" fillId="0" borderId="1" applyAlignment="1" pivotButton="0" quotePrefix="0" xfId="0">
      <alignment horizontal="center" vertical="top"/>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165" fontId="5" fillId="0" borderId="1"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164" fontId="6" fillId="0" borderId="0" applyAlignment="1" pivotButton="0" quotePrefix="0" xfId="0">
      <alignment horizontal="center" vertical="center"/>
    </xf>
    <xf numFmtId="165" fontId="6" fillId="0" borderId="0" applyAlignment="1" pivotButton="0" quotePrefix="0" xfId="0">
      <alignment horizontal="center" vertical="center"/>
    </xf>
    <xf numFmtId="0" fontId="7" fillId="0" borderId="0" applyAlignment="1" pivotButton="0" quotePrefix="0" xfId="0">
      <alignment horizontal="center" vertical="bottom"/>
    </xf>
    <xf numFmtId="0" fontId="8" fillId="0" borderId="0" applyAlignment="1" pivotButton="0" quotePrefix="0" xfId="0">
      <alignment horizontal="left" vertical="center"/>
    </xf>
    <xf numFmtId="0" fontId="8" fillId="0" borderId="0" applyAlignment="1" pivotButton="0" quotePrefix="0" xfId="0">
      <alignment horizontal="general" vertical="bottom"/>
    </xf>
    <xf numFmtId="0" fontId="6" fillId="0" borderId="1" applyAlignment="1" pivotButton="0" quotePrefix="0" xfId="0">
      <alignment horizontal="left" vertical="bottom"/>
    </xf>
    <xf numFmtId="0" fontId="6" fillId="0" borderId="1" applyAlignment="1" pivotButton="0" quotePrefix="0" xfId="0">
      <alignment horizontal="center" vertical="bottom"/>
    </xf>
    <xf numFmtId="165" fontId="6" fillId="0" borderId="1" applyAlignment="1" pivotButton="0" quotePrefix="0" xfId="0">
      <alignment horizontal="center" vertical="bottom"/>
    </xf>
    <xf numFmtId="0" fontId="5" fillId="0" borderId="1" applyAlignment="1" pivotButton="0" quotePrefix="0" xfId="0">
      <alignment horizontal="left" vertical="bottom"/>
    </xf>
    <xf numFmtId="0" fontId="5" fillId="0" borderId="1" applyAlignment="1" pivotButton="0" quotePrefix="0" xfId="0">
      <alignment horizontal="center" vertical="bottom"/>
    </xf>
    <xf numFmtId="165" fontId="5" fillId="0" borderId="1" applyAlignment="1" pivotButton="0" quotePrefix="0" xfId="0">
      <alignment horizontal="center" vertical="bottom"/>
    </xf>
    <xf numFmtId="0" fontId="9" fillId="0" borderId="0" applyAlignment="1" pivotButton="0" quotePrefix="0" xfId="0">
      <alignment horizontal="general" vertical="top"/>
    </xf>
    <xf numFmtId="0" fontId="6" fillId="0" borderId="0" applyAlignment="1" pivotButton="0" quotePrefix="0" xfId="0">
      <alignment horizontal="general" vertical="top" wrapText="1"/>
    </xf>
    <xf numFmtId="0" fontId="6"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10" fillId="0" borderId="0" pivotButton="0" quotePrefix="0" xfId="0"/>
    <xf numFmtId="0" fontId="5" fillId="3" borderId="1" applyAlignment="1" pivotButton="0" quotePrefix="0" xfId="0">
      <alignment horizontal="left" vertical="top"/>
    </xf>
    <xf numFmtId="0" fontId="5" fillId="3" borderId="1" applyAlignment="1" pivotButton="0" quotePrefix="0" xfId="0">
      <alignment horizontal="left" vertical="top" wrapText="1"/>
    </xf>
    <xf numFmtId="0" fontId="5" fillId="3" borderId="1" applyAlignment="1" pivotButton="0" quotePrefix="0" xfId="0">
      <alignment horizontal="center" vertical="top"/>
    </xf>
    <xf numFmtId="0" fontId="0" fillId="5" borderId="0" pivotButton="0" quotePrefix="0" xfId="0"/>
    <xf numFmtId="0" fontId="6" fillId="4" borderId="1" applyAlignment="1" pivotButton="0" quotePrefix="0" xfId="0">
      <alignment horizontal="left" vertical="top"/>
    </xf>
    <xf numFmtId="0" fontId="6" fillId="4" borderId="1" applyAlignment="1" pivotButton="0" quotePrefix="0" xfId="0">
      <alignment horizontal="left" vertical="top" wrapText="1"/>
    </xf>
    <xf numFmtId="0" fontId="6" fillId="4"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general" vertical="top" wrapText="1" indent="2"/>
    </xf>
    <xf numFmtId="0" fontId="6" fillId="0" borderId="1" applyAlignment="1" pivotButton="0" quotePrefix="0" xfId="0">
      <alignment horizontal="left" vertical="top" wrapText="1"/>
    </xf>
    <xf numFmtId="0" fontId="6" fillId="0" borderId="1" applyAlignment="1" pivotButton="0" quotePrefix="0" xfId="0">
      <alignment horizontal="center" vertical="top"/>
    </xf>
    <xf numFmtId="0" fontId="0" fillId="6" borderId="0" pivotButton="0" quotePrefix="0" xfId="0"/>
    <xf numFmtId="0" fontId="0" fillId="7" borderId="0" pivotButton="0" quotePrefix="0" xfId="0"/>
    <xf numFmtId="0" fontId="0" fillId="8" borderId="0" pivotButton="0" quotePrefix="0" xfId="0"/>
    <xf numFmtId="9" fontId="0" fillId="0" borderId="0" pivotButton="0" quotePrefix="0" xfId="0"/>
    <xf numFmtId="9" fontId="10" fillId="0" borderId="0" pivotButton="0" quotePrefix="0" xfId="0"/>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165" fontId="5" fillId="0" borderId="1"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164" fontId="6" fillId="0" borderId="0" applyAlignment="1" pivotButton="0" quotePrefix="0" xfId="0">
      <alignment horizontal="center" vertical="center"/>
    </xf>
    <xf numFmtId="165" fontId="6" fillId="0" borderId="0" applyAlignment="1" pivotButton="0" quotePrefix="0" xfId="0">
      <alignment horizontal="center" vertical="center"/>
    </xf>
    <xf numFmtId="0" fontId="7" fillId="0" borderId="0" applyAlignment="1" pivotButton="0" quotePrefix="0" xfId="0">
      <alignment horizontal="center" vertical="bottom"/>
    </xf>
    <xf numFmtId="0" fontId="8" fillId="0" borderId="0" applyAlignment="1" pivotButton="0" quotePrefix="0" xfId="0">
      <alignment horizontal="left" vertical="center"/>
    </xf>
    <xf numFmtId="0" fontId="8" fillId="0" borderId="0" applyAlignment="1" pivotButton="0" quotePrefix="0" xfId="0">
      <alignment horizontal="general" vertical="bottom"/>
    </xf>
    <xf numFmtId="0" fontId="6" fillId="0" borderId="1" applyAlignment="1" pivotButton="0" quotePrefix="0" xfId="0">
      <alignment horizontal="left" vertical="bottom"/>
    </xf>
    <xf numFmtId="0" fontId="6" fillId="0" borderId="1" applyAlignment="1" pivotButton="0" quotePrefix="0" xfId="0">
      <alignment horizontal="center" vertical="bottom"/>
    </xf>
    <xf numFmtId="165" fontId="6" fillId="0" borderId="1" applyAlignment="1" pivotButton="0" quotePrefix="0" xfId="0">
      <alignment horizontal="center" vertical="bottom"/>
    </xf>
    <xf numFmtId="0" fontId="5" fillId="0" borderId="1" applyAlignment="1" pivotButton="0" quotePrefix="0" xfId="0">
      <alignment horizontal="left" vertical="bottom"/>
    </xf>
    <xf numFmtId="0" fontId="5" fillId="0" borderId="1" applyAlignment="1" pivotButton="0" quotePrefix="0" xfId="0">
      <alignment horizontal="center" vertical="bottom"/>
    </xf>
    <xf numFmtId="165" fontId="5" fillId="0" borderId="1" applyAlignment="1" pivotButton="0" quotePrefix="0" xfId="0">
      <alignment horizontal="center" vertical="bottom"/>
    </xf>
    <xf numFmtId="0" fontId="9" fillId="0" borderId="0" applyAlignment="1" pivotButton="0" quotePrefix="0" xfId="0">
      <alignment horizontal="general" vertical="top"/>
    </xf>
    <xf numFmtId="0" fontId="6" fillId="0" borderId="0" applyAlignment="1" pivotButton="0" quotePrefix="0" xfId="0">
      <alignment horizontal="general" vertical="top" wrapText="1"/>
    </xf>
    <xf numFmtId="0" fontId="6" fillId="0"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4202E"/>
          <bgColor rgb="FF000000"/>
        </patternFill>
      </fill>
    </dxf>
    <dxf>
      <fill>
        <patternFill patternType="solid">
          <fgColor rgb="FFE8ECEF"/>
          <bgColor rgb="FF000000"/>
        </patternFill>
      </fill>
    </dxf>
    <dxf>
      <fill>
        <patternFill patternType="solid">
          <fgColor rgb="FFF7F9F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9FA"/>
      <rgbColor rgb="FFE8ECEF"/>
      <rgbColor rgb="FF660066"/>
      <rgbColor rgb="FFFF8080"/>
      <rgbColor rgb="FF0066CC"/>
      <rgbColor rgb="FFD4D8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7C"/>
      <rgbColor rgb="FF969696"/>
      <rgbColor rgb="FF003366"/>
      <rgbColor rgb="FF339966"/>
      <rgbColor rgb="FF003300"/>
      <rgbColor rgb="FF333300"/>
      <rgbColor rgb="FF993300"/>
      <rgbColor rgb="FF993366"/>
      <rgbColor rgb="FF333399"/>
      <rgbColor rgb="FF1420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273"/>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36" min="1" max="3"/>
    <col width="62" customWidth="1" style="36" min="4" max="4"/>
    <col width="58" customWidth="1" style="36" min="5" max="5"/>
    <col width="26" customWidth="1" style="36" min="6" max="6"/>
    <col width="11" customWidth="1" style="36" min="7" max="7"/>
    <col width="10" customWidth="1" style="36" min="8" max="8"/>
    <col width="9" customWidth="1" style="36" min="9" max="9"/>
    <col width="11" customWidth="1" style="36" min="10" max="10"/>
    <col width="13" customWidth="1" style="36" min="11" max="11"/>
    <col width="20" customWidth="1" style="36" min="12" max="12"/>
    <col width="22" customWidth="1" style="36" min="13" max="13"/>
    <col width="13" customWidth="1" style="37" min="14" max="14"/>
    <col width="60" customWidth="1" style="37" min="15" max="15"/>
    <col width="11" customWidth="1" style="37" min="16" max="16"/>
  </cols>
  <sheetData>
    <row r="1" ht="30" customHeight="1" s="37">
      <c r="A1" s="38" t="inlineStr">
        <is>
          <t>Issue ID</t>
        </is>
      </c>
      <c r="B1" s="38" t="inlineStr">
        <is>
          <t>Parent ID</t>
        </is>
      </c>
      <c r="C1" s="38" t="inlineStr">
        <is>
          <t>Issue Type</t>
        </is>
      </c>
      <c r="D1" s="38" t="inlineStr">
        <is>
          <t>Summary</t>
        </is>
      </c>
      <c r="E1" s="38" t="inlineStr">
        <is>
          <t>Description</t>
        </is>
      </c>
      <c r="F1" s="38" t="inlineStr">
        <is>
          <t>Epic Name</t>
        </is>
      </c>
      <c r="G1" s="38" t="inlineStr">
        <is>
          <t>Epic Link</t>
        </is>
      </c>
      <c r="H1" s="38" t="inlineStr">
        <is>
          <t>Priority</t>
        </is>
      </c>
      <c r="I1" s="38" t="inlineStr">
        <is>
          <t>Story Points</t>
        </is>
      </c>
      <c r="J1" s="38" t="inlineStr">
        <is>
          <t>Original Estimate (h)</t>
        </is>
      </c>
      <c r="K1" s="38" t="inlineStr">
        <is>
          <t>Component</t>
        </is>
      </c>
      <c r="L1" s="38" t="inlineStr">
        <is>
          <t>Milestone</t>
        </is>
      </c>
      <c r="M1" s="38" t="inlineStr">
        <is>
          <t>Labels</t>
        </is>
      </c>
      <c r="N1" s="39" t="inlineStr">
        <is>
          <t>Status</t>
        </is>
      </c>
      <c r="O1" s="39" t="inlineStr">
        <is>
          <t>Status note</t>
        </is>
      </c>
      <c r="P1" s="39" t="inlineStr">
        <is>
          <t>Updated</t>
        </is>
      </c>
    </row>
    <row r="2" ht="23.85" customHeight="1" s="37">
      <c r="A2" s="40" t="inlineStr">
        <is>
          <t>EPIC-A</t>
        </is>
      </c>
      <c r="B2" s="40" t="n"/>
      <c r="C2" s="40" t="inlineStr">
        <is>
          <t>Epic</t>
        </is>
      </c>
      <c r="D2" s="41" t="inlineStr">
        <is>
          <t>A — Foundation &amp; tenancy</t>
        </is>
      </c>
      <c r="E2" s="41" t="inlineStr">
        <is>
          <t>Auth, workspaces, spaces, folders and the application-layer scoping that isolates every tenant.</t>
        </is>
      </c>
      <c r="F2" s="40" t="inlineStr">
        <is>
          <t>Foundation &amp; tenancy</t>
        </is>
      </c>
      <c r="G2" s="40" t="n"/>
      <c r="H2" s="42" t="n"/>
      <c r="I2" s="42">
        <f>SUMIFS(I$2:I$273,G$2:G$273,"EPIC-A",C$2:C$273,"Story")</f>
        <v/>
      </c>
      <c r="J2" s="42">
        <f>SUMIFS(J$2:J$273,G$2:G$273,"EPIC-A",C$2:C$273,"Story")</f>
        <v/>
      </c>
      <c r="K2" s="40" t="n"/>
      <c r="L2" s="40" t="n"/>
      <c r="M2" s="40" t="inlineStr">
        <is>
          <t>epic</t>
        </is>
      </c>
      <c r="N2" s="43" t="inlineStr">
        <is>
          <t>Done</t>
        </is>
      </c>
      <c r="O2" s="36" t="inlineStr">
        <is>
          <t>20/20 sub-tasks done, 5/5 stories done</t>
        </is>
      </c>
      <c r="P2" s="36" t="inlineStr">
        <is>
          <t>2026-09-22</t>
        </is>
      </c>
    </row>
    <row r="3" ht="23.85" customHeight="1" s="37">
      <c r="A3" s="44" t="inlineStr">
        <is>
          <t>A1</t>
        </is>
      </c>
      <c r="B3" s="44" t="inlineStr">
        <is>
          <t>EPIC-A</t>
        </is>
      </c>
      <c r="C3" s="44" t="inlineStr">
        <is>
          <t>Story</t>
        </is>
      </c>
      <c r="D3" s="45" t="inlineStr">
        <is>
          <t>As a new user, I can sign up and create a workspace so I have somewhere to put documents.</t>
        </is>
      </c>
      <c r="E3" s="45" t="inlineStr">
        <is>
          <t>Email plus magic-link auth. Creating a workspace makes the creator its admin.</t>
        </is>
      </c>
      <c r="F3" s="44" t="n"/>
      <c r="G3" s="44" t="inlineStr">
        <is>
          <t>EPIC-A</t>
        </is>
      </c>
      <c r="H3" s="46" t="inlineStr">
        <is>
          <t>Highest</t>
        </is>
      </c>
      <c r="I3" s="46" t="n">
        <v>5</v>
      </c>
      <c r="J3" s="46">
        <f>SUM(J4:J7)</f>
        <v/>
      </c>
      <c r="K3" s="44" t="n"/>
      <c r="L3" s="44" t="inlineStr">
        <is>
          <t>M0 Foundation</t>
        </is>
      </c>
      <c r="M3" s="44" t="inlineStr">
        <is>
          <t>p0,m0</t>
        </is>
      </c>
      <c r="N3" s="43" t="inlineStr">
        <is>
          <t>Done</t>
        </is>
      </c>
      <c r="O3" s="36" t="inlineStr">
        <is>
          <t>4/4 sub-tasks done</t>
        </is>
      </c>
      <c r="P3" s="36" t="inlineStr">
        <is>
          <t>2026-09-22</t>
        </is>
      </c>
    </row>
    <row r="4" ht="15" customHeight="1" s="37">
      <c r="A4" s="47" t="inlineStr">
        <is>
          <t>A1-T1</t>
        </is>
      </c>
      <c r="B4" s="47" t="inlineStr">
        <is>
          <t>A1</t>
        </is>
      </c>
      <c r="C4" s="47" t="inlineStr">
        <is>
          <t>Sub-task</t>
        </is>
      </c>
      <c r="D4" s="48" t="inlineStr">
        <is>
          <t>Sanctum SPA session auth plus signed-URL magic links</t>
        </is>
      </c>
      <c r="E4" s="49" t="n"/>
      <c r="F4" s="47" t="n"/>
      <c r="G4" s="47" t="n"/>
      <c r="H4" s="50" t="inlineStr">
        <is>
          <t>Highest</t>
        </is>
      </c>
      <c r="I4" s="50" t="n"/>
      <c r="J4" s="50" t="n">
        <v>10</v>
      </c>
      <c r="K4" s="47" t="inlineStr">
        <is>
          <t>Backend</t>
        </is>
      </c>
      <c r="L4" s="47" t="inlineStr">
        <is>
          <t>M0 Foundation</t>
        </is>
      </c>
      <c r="M4" s="47" t="inlineStr">
        <is>
          <t>backend</t>
        </is>
      </c>
      <c r="N4" s="43" t="inlineStr">
        <is>
          <t>Done</t>
        </is>
      </c>
      <c r="O4" s="36" t="inlineStr">
        <is>
          <t>Sanctum + signed magic links; b58a0df</t>
        </is>
      </c>
      <c r="P4" s="36" t="inlineStr">
        <is>
          <t>2026-09-22</t>
        </is>
      </c>
    </row>
    <row r="5" ht="15" customHeight="1" s="37">
      <c r="A5" s="47" t="inlineStr">
        <is>
          <t>A1-T2</t>
        </is>
      </c>
      <c r="B5" s="47" t="inlineStr">
        <is>
          <t>A1</t>
        </is>
      </c>
      <c r="C5" s="47" t="inlineStr">
        <is>
          <t>Sub-task</t>
        </is>
      </c>
      <c r="D5" s="48" t="inlineStr">
        <is>
          <t>Build sign in / sign up screen (S1)</t>
        </is>
      </c>
      <c r="E5" s="49" t="n"/>
      <c r="F5" s="47" t="n"/>
      <c r="G5" s="47" t="n"/>
      <c r="H5" s="50" t="inlineStr">
        <is>
          <t>Highest</t>
        </is>
      </c>
      <c r="I5" s="50" t="n"/>
      <c r="J5" s="50" t="n">
        <v>8</v>
      </c>
      <c r="K5" s="47" t="inlineStr">
        <is>
          <t>Frontend</t>
        </is>
      </c>
      <c r="L5" s="47" t="inlineStr">
        <is>
          <t>M0 Foundation</t>
        </is>
      </c>
      <c r="M5" s="47" t="inlineStr">
        <is>
          <t>frontend</t>
        </is>
      </c>
      <c r="N5" s="43" t="inlineStr">
        <is>
          <t>Done</t>
        </is>
      </c>
      <c r="O5" s="36" t="inlineStr">
        <is>
          <t>S1</t>
        </is>
      </c>
      <c r="P5" s="36" t="inlineStr">
        <is>
          <t>2026-09-22</t>
        </is>
      </c>
    </row>
    <row r="6" ht="15" customHeight="1" s="37">
      <c r="A6" s="47" t="inlineStr">
        <is>
          <t>A1-T3</t>
        </is>
      </c>
      <c r="B6" s="47" t="inlineStr">
        <is>
          <t>A1</t>
        </is>
      </c>
      <c r="C6" s="47" t="inlineStr">
        <is>
          <t>Sub-task</t>
        </is>
      </c>
      <c r="D6" s="48" t="inlineStr">
        <is>
          <t>Workspace creation flow with slug validation (S2)</t>
        </is>
      </c>
      <c r="E6" s="49" t="n"/>
      <c r="F6" s="47" t="n"/>
      <c r="G6" s="47" t="n"/>
      <c r="H6" s="50" t="inlineStr">
        <is>
          <t>Highest</t>
        </is>
      </c>
      <c r="I6" s="50" t="n"/>
      <c r="J6" s="50" t="n">
        <v>6</v>
      </c>
      <c r="K6" s="47" t="inlineStr">
        <is>
          <t>Full stack</t>
        </is>
      </c>
      <c r="L6" s="47" t="inlineStr">
        <is>
          <t>M0 Foundation</t>
        </is>
      </c>
      <c r="M6" s="47" t="inlineStr">
        <is>
          <t>full-stack</t>
        </is>
      </c>
      <c r="N6" s="43" t="inlineStr">
        <is>
          <t>Done</t>
        </is>
      </c>
      <c r="O6" s="36" t="inlineStr">
        <is>
          <t>S2</t>
        </is>
      </c>
      <c r="P6" s="36" t="inlineStr">
        <is>
          <t>2026-09-22</t>
        </is>
      </c>
    </row>
    <row r="7" ht="15" customHeight="1" s="37">
      <c r="A7" s="47" t="inlineStr">
        <is>
          <t>A1-T4</t>
        </is>
      </c>
      <c r="B7" s="47" t="inlineStr">
        <is>
          <t>A1</t>
        </is>
      </c>
      <c r="C7" s="47" t="inlineStr">
        <is>
          <t>Sub-task</t>
        </is>
      </c>
      <c r="D7" s="48" t="inlineStr">
        <is>
          <t>Users table and workspace membership model</t>
        </is>
      </c>
      <c r="E7" s="49" t="n"/>
      <c r="F7" s="47" t="n"/>
      <c r="G7" s="47" t="n"/>
      <c r="H7" s="50" t="inlineStr">
        <is>
          <t>Highest</t>
        </is>
      </c>
      <c r="I7" s="50" t="n"/>
      <c r="J7" s="50" t="n">
        <v>4</v>
      </c>
      <c r="K7" s="47" t="inlineStr">
        <is>
          <t>Database</t>
        </is>
      </c>
      <c r="L7" s="47" t="inlineStr">
        <is>
          <t>M0 Foundation</t>
        </is>
      </c>
      <c r="M7" s="47" t="inlineStr">
        <is>
          <t>database</t>
        </is>
      </c>
      <c r="N7" s="43" t="inlineStr">
        <is>
          <t>Done</t>
        </is>
      </c>
      <c r="O7" s="36" t="inlineStr">
        <is>
          <t>users, workspace_members</t>
        </is>
      </c>
      <c r="P7" s="36" t="inlineStr">
        <is>
          <t>2026-09-22</t>
        </is>
      </c>
    </row>
    <row r="8" ht="23.85" customHeight="1" s="37">
      <c r="A8" s="44" t="inlineStr">
        <is>
          <t>A2</t>
        </is>
      </c>
      <c r="B8" s="44" t="inlineStr">
        <is>
          <t>EPIC-A</t>
        </is>
      </c>
      <c r="C8" s="44" t="inlineStr">
        <is>
          <t>Story</t>
        </is>
      </c>
      <c r="D8" s="45" t="inlineStr">
        <is>
          <t>As an admin, I can invite teammates by email with a role so they can join the workspace.</t>
        </is>
      </c>
      <c r="E8" s="45" t="inlineStr">
        <is>
          <t>Invite by email with a role assigned at invite time.</t>
        </is>
      </c>
      <c r="F8" s="44" t="n"/>
      <c r="G8" s="44" t="inlineStr">
        <is>
          <t>EPIC-A</t>
        </is>
      </c>
      <c r="H8" s="46" t="inlineStr">
        <is>
          <t>Highest</t>
        </is>
      </c>
      <c r="I8" s="46" t="n">
        <v>5</v>
      </c>
      <c r="J8" s="46">
        <f>SUM(J9:J11)</f>
        <v/>
      </c>
      <c r="K8" s="44" t="n"/>
      <c r="L8" s="44" t="inlineStr">
        <is>
          <t>M0 Foundation</t>
        </is>
      </c>
      <c r="M8" s="44" t="inlineStr">
        <is>
          <t>p0,m0</t>
        </is>
      </c>
      <c r="N8" s="43" t="inlineStr">
        <is>
          <t>Done</t>
        </is>
      </c>
      <c r="O8" s="36" t="inlineStr">
        <is>
          <t>3/3 sub-tasks done</t>
        </is>
      </c>
      <c r="P8" s="36" t="inlineStr">
        <is>
          <t>2026-09-22</t>
        </is>
      </c>
    </row>
    <row r="9" ht="15" customHeight="1" s="37">
      <c r="A9" s="47" t="inlineStr">
        <is>
          <t>A2-T1</t>
        </is>
      </c>
      <c r="B9" s="47" t="inlineStr">
        <is>
          <t>A2</t>
        </is>
      </c>
      <c r="C9" s="47" t="inlineStr">
        <is>
          <t>Sub-task</t>
        </is>
      </c>
      <c r="D9" s="48" t="inlineStr">
        <is>
          <t>Invite API with signed token and email delivery</t>
        </is>
      </c>
      <c r="E9" s="49" t="n"/>
      <c r="F9" s="47" t="n"/>
      <c r="G9" s="47" t="n"/>
      <c r="H9" s="50" t="inlineStr">
        <is>
          <t>Highest</t>
        </is>
      </c>
      <c r="I9" s="50" t="n"/>
      <c r="J9" s="50" t="n">
        <v>8</v>
      </c>
      <c r="K9" s="47" t="inlineStr">
        <is>
          <t>Backend</t>
        </is>
      </c>
      <c r="L9" s="47" t="inlineStr">
        <is>
          <t>M0 Foundation</t>
        </is>
      </c>
      <c r="M9" s="47" t="inlineStr">
        <is>
          <t>backend</t>
        </is>
      </c>
      <c r="N9" s="43" t="inlineStr">
        <is>
          <t>Done</t>
        </is>
      </c>
      <c r="O9" s="36" t="inlineStr">
        <is>
          <t>Invite API + WorkspaceInviteNotification</t>
        </is>
      </c>
      <c r="P9" s="36" t="inlineStr">
        <is>
          <t>2026-09-22</t>
        </is>
      </c>
    </row>
    <row r="10" ht="15" customHeight="1" s="37">
      <c r="A10" s="47" t="inlineStr">
        <is>
          <t>A2-T2</t>
        </is>
      </c>
      <c r="B10" s="47" t="inlineStr">
        <is>
          <t>A2</t>
        </is>
      </c>
      <c r="C10" s="47" t="inlineStr">
        <is>
          <t>Sub-task</t>
        </is>
      </c>
      <c r="D10" s="48" t="inlineStr">
        <is>
          <t>Invite and accept screens (S3)</t>
        </is>
      </c>
      <c r="E10" s="49" t="n"/>
      <c r="F10" s="47" t="n"/>
      <c r="G10" s="47" t="n"/>
      <c r="H10" s="50" t="inlineStr">
        <is>
          <t>Highest</t>
        </is>
      </c>
      <c r="I10" s="50" t="n"/>
      <c r="J10" s="50" t="n">
        <v>8</v>
      </c>
      <c r="K10" s="47" t="inlineStr">
        <is>
          <t>Frontend</t>
        </is>
      </c>
      <c r="L10" s="47" t="inlineStr">
        <is>
          <t>M0 Foundation</t>
        </is>
      </c>
      <c r="M10" s="47" t="inlineStr">
        <is>
          <t>frontend</t>
        </is>
      </c>
      <c r="N10" s="43" t="inlineStr">
        <is>
          <t>Done</t>
        </is>
      </c>
      <c r="O10" s="36" t="inlineStr">
        <is>
          <t>S3 + accept</t>
        </is>
      </c>
      <c r="P10" s="36" t="inlineStr">
        <is>
          <t>2026-09-22</t>
        </is>
      </c>
    </row>
    <row r="11" ht="15" customHeight="1" s="37">
      <c r="A11" s="47" t="inlineStr">
        <is>
          <t>A2-T3</t>
        </is>
      </c>
      <c r="B11" s="47" t="inlineStr">
        <is>
          <t>A2</t>
        </is>
      </c>
      <c r="C11" s="47" t="inlineStr">
        <is>
          <t>Sub-task</t>
        </is>
      </c>
      <c r="D11" s="48" t="inlineStr">
        <is>
          <t>Role assignment on invite acceptance</t>
        </is>
      </c>
      <c r="E11" s="49" t="n"/>
      <c r="F11" s="47" t="n"/>
      <c r="G11" s="47" t="n"/>
      <c r="H11" s="50" t="inlineStr">
        <is>
          <t>Highest</t>
        </is>
      </c>
      <c r="I11" s="50" t="n"/>
      <c r="J11" s="50" t="n">
        <v>4</v>
      </c>
      <c r="K11" s="47" t="inlineStr">
        <is>
          <t>Backend</t>
        </is>
      </c>
      <c r="L11" s="47" t="inlineStr">
        <is>
          <t>M0 Foundation</t>
        </is>
      </c>
      <c r="M11" s="47" t="inlineStr">
        <is>
          <t>backend</t>
        </is>
      </c>
      <c r="N11" s="43" t="inlineStr">
        <is>
          <t>Done</t>
        </is>
      </c>
      <c r="P11" s="36" t="inlineStr">
        <is>
          <t>2026-09-22</t>
        </is>
      </c>
    </row>
    <row r="12" ht="23.85" customHeight="1" s="37">
      <c r="A12" s="44" t="inlineStr">
        <is>
          <t>A3</t>
        </is>
      </c>
      <c r="B12" s="44" t="inlineStr">
        <is>
          <t>EPIC-A</t>
        </is>
      </c>
      <c r="C12" s="44" t="inlineStr">
        <is>
          <t>Story</t>
        </is>
      </c>
      <c r="D12" s="45" t="inlineStr">
        <is>
          <t>As a developer, every tenant table is workspace-scoped by default so no query can cross a workspace boundary.</t>
        </is>
      </c>
      <c r="E12" s="45" t="inlineStr">
        <is>
          <t>Release blocker. MySQL has no row-level security, so the boundary is application-layer: a missed scope leaks rather than returning nothing.</t>
        </is>
      </c>
      <c r="F12" s="44" t="n"/>
      <c r="G12" s="44" t="inlineStr">
        <is>
          <t>EPIC-A</t>
        </is>
      </c>
      <c r="H12" s="46" t="inlineStr">
        <is>
          <t>Highest</t>
        </is>
      </c>
      <c r="I12" s="46" t="n">
        <v>13</v>
      </c>
      <c r="J12" s="46">
        <f>SUM(J13:J19)</f>
        <v/>
      </c>
      <c r="K12" s="44" t="n"/>
      <c r="L12" s="44" t="inlineStr">
        <is>
          <t>M0 Foundation</t>
        </is>
      </c>
      <c r="M12" s="44" t="inlineStr">
        <is>
          <t>p0,m0</t>
        </is>
      </c>
      <c r="N12" s="43" t="inlineStr">
        <is>
          <t>Done</t>
        </is>
      </c>
      <c r="O12" s="36" t="inlineStr">
        <is>
          <t>7/7 sub-tasks done</t>
        </is>
      </c>
      <c r="P12" s="36" t="inlineStr">
        <is>
          <t>2026-09-22</t>
        </is>
      </c>
    </row>
    <row r="13" ht="15" customHeight="1" s="37">
      <c r="A13" s="47" t="inlineStr">
        <is>
          <t>A3-T1</t>
        </is>
      </c>
      <c r="B13" s="47" t="inlineStr">
        <is>
          <t>A3</t>
        </is>
      </c>
      <c r="C13" s="47" t="inlineStr">
        <is>
          <t>Sub-task</t>
        </is>
      </c>
      <c r="D13" s="48" t="inlineStr">
        <is>
          <t>Build TenantModel base class with mandatory workspace global scope</t>
        </is>
      </c>
      <c r="E13" s="49" t="n"/>
      <c r="F13" s="47" t="n"/>
      <c r="G13" s="47" t="n"/>
      <c r="H13" s="50" t="inlineStr">
        <is>
          <t>Highest</t>
        </is>
      </c>
      <c r="I13" s="50" t="n"/>
      <c r="J13" s="50" t="n">
        <v>10</v>
      </c>
      <c r="K13" s="47" t="inlineStr">
        <is>
          <t>Backend</t>
        </is>
      </c>
      <c r="L13" s="47" t="inlineStr">
        <is>
          <t>M0 Foundation</t>
        </is>
      </c>
      <c r="M13" s="47" t="inlineStr">
        <is>
          <t>backend</t>
        </is>
      </c>
      <c r="N13" s="43" t="inlineStr">
        <is>
          <t>Done</t>
        </is>
      </c>
      <c r="O13" s="36" t="inlineStr">
        <is>
          <t>TenantModel + TenantScope</t>
        </is>
      </c>
      <c r="P13" s="36" t="inlineStr">
        <is>
          <t>2026-09-22</t>
        </is>
      </c>
    </row>
    <row r="14" ht="15" customHeight="1" s="37">
      <c r="A14" s="47" t="inlineStr">
        <is>
          <t>A3-T2</t>
        </is>
      </c>
      <c r="B14" s="47" t="inlineStr">
        <is>
          <t>A3</t>
        </is>
      </c>
      <c r="C14" s="47" t="inlineStr">
        <is>
          <t>Sub-task</t>
        </is>
      </c>
      <c r="D14" s="48" t="inlineStr">
        <is>
          <t>Auto-set workspace_id on create from request context, never from payload</t>
        </is>
      </c>
      <c r="E14" s="49" t="n"/>
      <c r="F14" s="47" t="n"/>
      <c r="G14" s="47" t="n"/>
      <c r="H14" s="50" t="inlineStr">
        <is>
          <t>Highest</t>
        </is>
      </c>
      <c r="I14" s="50" t="n"/>
      <c r="J14" s="50" t="n">
        <v>5</v>
      </c>
      <c r="K14" s="47" t="inlineStr">
        <is>
          <t>Backend</t>
        </is>
      </c>
      <c r="L14" s="47" t="inlineStr">
        <is>
          <t>M0 Foundation</t>
        </is>
      </c>
      <c r="M14" s="47" t="inlineStr">
        <is>
          <t>backend</t>
        </is>
      </c>
      <c r="N14" s="43" t="inlineStr">
        <is>
          <t>Done</t>
        </is>
      </c>
      <c r="O14" s="36" t="inlineStr">
        <is>
          <t>workspace_id from CurrentWorkspace only</t>
        </is>
      </c>
      <c r="P14" s="36" t="inlineStr">
        <is>
          <t>2026-09-22</t>
        </is>
      </c>
    </row>
    <row r="15" ht="15" customHeight="1" s="37">
      <c r="A15" s="47" t="inlineStr">
        <is>
          <t>A3-T3</t>
        </is>
      </c>
      <c r="B15" s="47" t="inlineStr">
        <is>
          <t>A3</t>
        </is>
      </c>
      <c r="C15" s="47" t="inlineStr">
        <is>
          <t>Sub-task</t>
        </is>
      </c>
      <c r="D15" s="48" t="inlineStr">
        <is>
          <t>Laravel Policies for space-level access</t>
        </is>
      </c>
      <c r="E15" s="49" t="n"/>
      <c r="F15" s="47" t="n"/>
      <c r="G15" s="47" t="n"/>
      <c r="H15" s="50" t="inlineStr">
        <is>
          <t>Highest</t>
        </is>
      </c>
      <c r="I15" s="50" t="n"/>
      <c r="J15" s="50" t="n">
        <v>10</v>
      </c>
      <c r="K15" s="47" t="inlineStr">
        <is>
          <t>Backend</t>
        </is>
      </c>
      <c r="L15" s="47" t="inlineStr">
        <is>
          <t>M0 Foundation</t>
        </is>
      </c>
      <c r="M15" s="47" t="inlineStr">
        <is>
          <t>backend</t>
        </is>
      </c>
      <c r="N15" s="43" t="inlineStr">
        <is>
          <t>Done</t>
        </is>
      </c>
      <c r="O15" s="36" t="inlineStr">
        <is>
          <t>SpacePolicy/DocumentPolicy/RecordingPolicy</t>
        </is>
      </c>
      <c r="P15" s="36" t="inlineStr">
        <is>
          <t>2026-09-22</t>
        </is>
      </c>
    </row>
    <row r="16" ht="15" customHeight="1" s="37">
      <c r="A16" s="47" t="inlineStr">
        <is>
          <t>A3-T4</t>
        </is>
      </c>
      <c r="B16" s="47" t="inlineStr">
        <is>
          <t>A3</t>
        </is>
      </c>
      <c r="C16" s="47" t="inlineStr">
        <is>
          <t>Sub-task</t>
        </is>
      </c>
      <c r="D16" s="48" t="inlineStr">
        <is>
          <t>Schema conformance test: every tenant table scoped, indexed, non-fillable</t>
        </is>
      </c>
      <c r="E16" s="49" t="n"/>
      <c r="F16" s="47" t="n"/>
      <c r="G16" s="47" t="n"/>
      <c r="H16" s="50" t="inlineStr">
        <is>
          <t>Highest</t>
        </is>
      </c>
      <c r="I16" s="50" t="n"/>
      <c r="J16" s="50" t="n">
        <v>12</v>
      </c>
      <c r="K16" s="47" t="inlineStr">
        <is>
          <t>QA</t>
        </is>
      </c>
      <c r="L16" s="47" t="inlineStr">
        <is>
          <t>M0 Foundation</t>
        </is>
      </c>
      <c r="M16" s="47" t="inlineStr">
        <is>
          <t>qa</t>
        </is>
      </c>
      <c r="N16" s="43" t="inlineStr">
        <is>
          <t>Done</t>
        </is>
      </c>
      <c r="O16" s="36" t="inlineStr">
        <is>
          <t>SchemaConformanceTest</t>
        </is>
      </c>
      <c r="P16" s="36" t="inlineStr">
        <is>
          <t>2026-09-22</t>
        </is>
      </c>
    </row>
    <row r="17" ht="15" customHeight="1" s="37">
      <c r="A17" s="47" t="inlineStr">
        <is>
          <t>A3-T5</t>
        </is>
      </c>
      <c r="B17" s="47" t="inlineStr">
        <is>
          <t>A3</t>
        </is>
      </c>
      <c r="C17" s="47" t="inlineStr">
        <is>
          <t>Sub-task</t>
        </is>
      </c>
      <c r="D17" s="48" t="inlineStr">
        <is>
          <t>Static analysis rule blocking raw unscoped queries</t>
        </is>
      </c>
      <c r="E17" s="49" t="n"/>
      <c r="F17" s="47" t="n"/>
      <c r="G17" s="47" t="n"/>
      <c r="H17" s="50" t="inlineStr">
        <is>
          <t>Highest</t>
        </is>
      </c>
      <c r="I17" s="50" t="n"/>
      <c r="J17" s="50" t="n">
        <v>6</v>
      </c>
      <c r="K17" s="47" t="inlineStr">
        <is>
          <t>Infra</t>
        </is>
      </c>
      <c r="L17" s="47" t="inlineStr">
        <is>
          <t>M0 Foundation</t>
        </is>
      </c>
      <c r="M17" s="47" t="inlineStr">
        <is>
          <t>infra</t>
        </is>
      </c>
      <c r="N17" s="43" t="inlineStr">
        <is>
          <t>Done</t>
        </is>
      </c>
      <c r="O17" s="36" t="inlineStr">
        <is>
          <t>scripts/check-raw-queries.php</t>
        </is>
      </c>
      <c r="P17" s="36" t="inlineStr">
        <is>
          <t>2026-09-22</t>
        </is>
      </c>
    </row>
    <row r="18" ht="15" customHeight="1" s="37">
      <c r="A18" s="47" t="inlineStr">
        <is>
          <t>A3-T6</t>
        </is>
      </c>
      <c r="B18" s="47" t="inlineStr">
        <is>
          <t>A3</t>
        </is>
      </c>
      <c r="C18" s="47" t="inlineStr">
        <is>
          <t>Sub-task</t>
        </is>
      </c>
      <c r="D18" s="48" t="inlineStr">
        <is>
          <t>Cross-tenant and cross-table consistency test suite</t>
        </is>
      </c>
      <c r="E18" s="49" t="n"/>
      <c r="F18" s="47" t="n"/>
      <c r="G18" s="47" t="n"/>
      <c r="H18" s="50" t="inlineStr">
        <is>
          <t>Highest</t>
        </is>
      </c>
      <c r="I18" s="50" t="n"/>
      <c r="J18" s="50" t="n">
        <v>14</v>
      </c>
      <c r="K18" s="47" t="inlineStr">
        <is>
          <t>QA</t>
        </is>
      </c>
      <c r="L18" s="47" t="inlineStr">
        <is>
          <t>M0 Foundation</t>
        </is>
      </c>
      <c r="M18" s="47" t="inlineStr">
        <is>
          <t>qa</t>
        </is>
      </c>
      <c r="N18" s="43" t="inlineStr">
        <is>
          <t>Done</t>
        </is>
      </c>
      <c r="O18" s="36" t="inlineStr">
        <is>
          <t>CrossTenantIsolationTest</t>
        </is>
      </c>
      <c r="P18" s="36" t="inlineStr">
        <is>
          <t>2026-09-22</t>
        </is>
      </c>
    </row>
    <row r="19" ht="15" customHeight="1" s="37">
      <c r="A19" s="47" t="inlineStr">
        <is>
          <t>A3-T7</t>
        </is>
      </c>
      <c r="B19" s="47" t="inlineStr">
        <is>
          <t>A3</t>
        </is>
      </c>
      <c r="C19" s="47" t="inlineStr">
        <is>
          <t>Sub-task</t>
        </is>
      </c>
      <c r="D19" s="48" t="inlineStr">
        <is>
          <t>Wire all gates into CI as blocking</t>
        </is>
      </c>
      <c r="E19" s="49" t="n"/>
      <c r="F19" s="47" t="n"/>
      <c r="G19" s="47" t="n"/>
      <c r="H19" s="50" t="inlineStr">
        <is>
          <t>Highest</t>
        </is>
      </c>
      <c r="I19" s="50" t="n"/>
      <c r="J19" s="50" t="n">
        <v>3</v>
      </c>
      <c r="K19" s="47" t="inlineStr">
        <is>
          <t>Infra</t>
        </is>
      </c>
      <c r="L19" s="47" t="inlineStr">
        <is>
          <t>M0 Foundation</t>
        </is>
      </c>
      <c r="M19" s="47" t="inlineStr">
        <is>
          <t>infra</t>
        </is>
      </c>
      <c r="N19" s="43" t="inlineStr">
        <is>
          <t>Done</t>
        </is>
      </c>
      <c r="O19" s="36" t="inlineStr">
        <is>
          <t>ci.yml, all gates blocking</t>
        </is>
      </c>
      <c r="P19" s="36" t="inlineStr">
        <is>
          <t>2026-09-22</t>
        </is>
      </c>
    </row>
    <row r="20" ht="23.85" customHeight="1" s="37">
      <c r="A20" s="44" t="inlineStr">
        <is>
          <t>A4</t>
        </is>
      </c>
      <c r="B20" s="44" t="inlineStr">
        <is>
          <t>EPIC-A</t>
        </is>
      </c>
      <c r="C20" s="44" t="inlineStr">
        <is>
          <t>Story</t>
        </is>
      </c>
      <c r="D20" s="45" t="inlineStr">
        <is>
          <t>As an admin, I can create spaces and folders so documentation matches how the company is organised.</t>
        </is>
      </c>
      <c r="E20" s="45" t="inlineStr">
        <is>
          <t>Workspace to space to folder, max depth 5.</t>
        </is>
      </c>
      <c r="F20" s="44" t="n"/>
      <c r="G20" s="44" t="inlineStr">
        <is>
          <t>EPIC-A</t>
        </is>
      </c>
      <c r="H20" s="46" t="inlineStr">
        <is>
          <t>Highest</t>
        </is>
      </c>
      <c r="I20" s="46" t="n">
        <v>5</v>
      </c>
      <c r="J20" s="46">
        <f>SUM(J21:J23)</f>
        <v/>
      </c>
      <c r="K20" s="44" t="n"/>
      <c r="L20" s="44" t="inlineStr">
        <is>
          <t>M0 Foundation</t>
        </is>
      </c>
      <c r="M20" s="44" t="inlineStr">
        <is>
          <t>p0,m0</t>
        </is>
      </c>
      <c r="N20" s="43" t="inlineStr">
        <is>
          <t>Done</t>
        </is>
      </c>
      <c r="O20" s="36" t="inlineStr">
        <is>
          <t>3/3 sub-tasks done</t>
        </is>
      </c>
      <c r="P20" s="36" t="inlineStr">
        <is>
          <t>2026-09-22</t>
        </is>
      </c>
    </row>
    <row r="21" ht="15" customHeight="1" s="37">
      <c r="A21" s="47" t="inlineStr">
        <is>
          <t>A4-T1</t>
        </is>
      </c>
      <c r="B21" s="47" t="inlineStr">
        <is>
          <t>A4</t>
        </is>
      </c>
      <c r="C21" s="47" t="inlineStr">
        <is>
          <t>Sub-task</t>
        </is>
      </c>
      <c r="D21" s="48" t="inlineStr">
        <is>
          <t>Schema and migrations for spaces and folders</t>
        </is>
      </c>
      <c r="E21" s="49" t="n"/>
      <c r="F21" s="47" t="n"/>
      <c r="G21" s="47" t="n"/>
      <c r="H21" s="50" t="inlineStr">
        <is>
          <t>Highest</t>
        </is>
      </c>
      <c r="I21" s="50" t="n"/>
      <c r="J21" s="50" t="n">
        <v>5</v>
      </c>
      <c r="K21" s="47" t="inlineStr">
        <is>
          <t>Database</t>
        </is>
      </c>
      <c r="L21" s="47" t="inlineStr">
        <is>
          <t>M0 Foundation</t>
        </is>
      </c>
      <c r="M21" s="47" t="inlineStr">
        <is>
          <t>database</t>
        </is>
      </c>
      <c r="N21" s="43" t="inlineStr">
        <is>
          <t>Done</t>
        </is>
      </c>
      <c r="P21" s="36" t="inlineStr">
        <is>
          <t>2026-09-22</t>
        </is>
      </c>
    </row>
    <row r="22" ht="15" customHeight="1" s="37">
      <c r="A22" s="47" t="inlineStr">
        <is>
          <t>A4-T2</t>
        </is>
      </c>
      <c r="B22" s="47" t="inlineStr">
        <is>
          <t>A4</t>
        </is>
      </c>
      <c r="C22" s="47" t="inlineStr">
        <is>
          <t>Sub-task</t>
        </is>
      </c>
      <c r="D22" s="48" t="inlineStr">
        <is>
          <t>Folder CRUD API including move with depth check</t>
        </is>
      </c>
      <c r="E22" s="49" t="n"/>
      <c r="F22" s="47" t="n"/>
      <c r="G22" s="47" t="n"/>
      <c r="H22" s="50" t="inlineStr">
        <is>
          <t>Highest</t>
        </is>
      </c>
      <c r="I22" s="50" t="n"/>
      <c r="J22" s="50" t="n">
        <v>8</v>
      </c>
      <c r="K22" s="47" t="inlineStr">
        <is>
          <t>Backend</t>
        </is>
      </c>
      <c r="L22" s="47" t="inlineStr">
        <is>
          <t>M0 Foundation</t>
        </is>
      </c>
      <c r="M22" s="47" t="inlineStr">
        <is>
          <t>backend</t>
        </is>
      </c>
      <c r="N22" s="43" t="inlineStr">
        <is>
          <t>Done</t>
        </is>
      </c>
      <c r="O22" s="36" t="inlineStr">
        <is>
          <t>depth ≤ 5, delete strategy</t>
        </is>
      </c>
      <c r="P22" s="36" t="inlineStr">
        <is>
          <t>2026-09-22</t>
        </is>
      </c>
    </row>
    <row r="23" ht="15" customHeight="1" s="37">
      <c r="A23" s="47" t="inlineStr">
        <is>
          <t>A4-T3</t>
        </is>
      </c>
      <c r="B23" s="47" t="inlineStr">
        <is>
          <t>A4</t>
        </is>
      </c>
      <c r="C23" s="47" t="inlineStr">
        <is>
          <t>Sub-task</t>
        </is>
      </c>
      <c r="D23" s="48" t="inlineStr">
        <is>
          <t>Sidebar tree and space browser (S5, S6)</t>
        </is>
      </c>
      <c r="E23" s="49" t="n"/>
      <c r="F23" s="47" t="n"/>
      <c r="G23" s="47" t="n"/>
      <c r="H23" s="50" t="inlineStr">
        <is>
          <t>Highest</t>
        </is>
      </c>
      <c r="I23" s="50" t="n"/>
      <c r="J23" s="50" t="n">
        <v>10</v>
      </c>
      <c r="K23" s="47" t="inlineStr">
        <is>
          <t>Frontend</t>
        </is>
      </c>
      <c r="L23" s="47" t="inlineStr">
        <is>
          <t>M0 Foundation</t>
        </is>
      </c>
      <c r="M23" s="47" t="inlineStr">
        <is>
          <t>frontend</t>
        </is>
      </c>
      <c r="N23" s="43" t="inlineStr">
        <is>
          <t>Done</t>
        </is>
      </c>
      <c r="O23" s="36" t="inlineStr">
        <is>
          <t>S5, S6</t>
        </is>
      </c>
      <c r="P23" s="36" t="inlineStr">
        <is>
          <t>2026-09-22</t>
        </is>
      </c>
    </row>
    <row r="24" ht="15" customHeight="1" s="37">
      <c r="A24" s="44" t="inlineStr">
        <is>
          <t>A5</t>
        </is>
      </c>
      <c r="B24" s="44" t="inlineStr">
        <is>
          <t>EPIC-A</t>
        </is>
      </c>
      <c r="C24" s="44" t="inlineStr">
        <is>
          <t>Story</t>
        </is>
      </c>
      <c r="D24" s="45" t="inlineStr">
        <is>
          <t>As a user, I see only the spaces I'm a member of, everywhere in the product.</t>
        </is>
      </c>
      <c r="E24" s="45" t="inlineStr">
        <is>
          <t>No greyed-out items hinting at content behind a permission wall.</t>
        </is>
      </c>
      <c r="F24" s="44" t="n"/>
      <c r="G24" s="44" t="inlineStr">
        <is>
          <t>EPIC-A</t>
        </is>
      </c>
      <c r="H24" s="46" t="inlineStr">
        <is>
          <t>Highest</t>
        </is>
      </c>
      <c r="I24" s="46" t="n">
        <v>3</v>
      </c>
      <c r="J24" s="46">
        <f>SUM(J25:J27)</f>
        <v/>
      </c>
      <c r="K24" s="44" t="n"/>
      <c r="L24" s="44" t="inlineStr">
        <is>
          <t>M0 Foundation</t>
        </is>
      </c>
      <c r="M24" s="44" t="inlineStr">
        <is>
          <t>p0,m0</t>
        </is>
      </c>
      <c r="N24" s="43" t="inlineStr">
        <is>
          <t>Done</t>
        </is>
      </c>
      <c r="O24" s="36" t="inlineStr">
        <is>
          <t>3/3 sub-tasks done</t>
        </is>
      </c>
      <c r="P24" s="36" t="inlineStr">
        <is>
          <t>2026-09-22</t>
        </is>
      </c>
    </row>
    <row r="25" ht="15" customHeight="1" s="37">
      <c r="A25" s="47" t="inlineStr">
        <is>
          <t>A5-T1</t>
        </is>
      </c>
      <c r="B25" s="47" t="inlineStr">
        <is>
          <t>A5</t>
        </is>
      </c>
      <c r="C25" s="47" t="inlineStr">
        <is>
          <t>Sub-task</t>
        </is>
      </c>
      <c r="D25" s="48" t="inlineStr">
        <is>
          <t>Scope sidebar and browser to accessible spaces</t>
        </is>
      </c>
      <c r="E25" s="49" t="n"/>
      <c r="F25" s="47" t="n"/>
      <c r="G25" s="47" t="n"/>
      <c r="H25" s="50" t="inlineStr">
        <is>
          <t>Highest</t>
        </is>
      </c>
      <c r="I25" s="50" t="n"/>
      <c r="J25" s="50" t="n">
        <v>5</v>
      </c>
      <c r="K25" s="47" t="inlineStr">
        <is>
          <t>Frontend</t>
        </is>
      </c>
      <c r="L25" s="47" t="inlineStr">
        <is>
          <t>M0 Foundation</t>
        </is>
      </c>
      <c r="M25" s="47" t="inlineStr">
        <is>
          <t>frontend</t>
        </is>
      </c>
      <c r="N25" s="43" t="inlineStr">
        <is>
          <t>Done</t>
        </is>
      </c>
      <c r="P25" s="36" t="inlineStr">
        <is>
          <t>2026-09-22</t>
        </is>
      </c>
    </row>
    <row r="26" ht="15" customHeight="1" s="37">
      <c r="A26" s="47" t="inlineStr">
        <is>
          <t>A5-T2</t>
        </is>
      </c>
      <c r="B26" s="47" t="inlineStr">
        <is>
          <t>A5</t>
        </is>
      </c>
      <c r="C26" s="47" t="inlineStr">
        <is>
          <t>Sub-task</t>
        </is>
      </c>
      <c r="D26" s="48" t="inlineStr">
        <is>
          <t>Return 403 not 404 so existence is never leaked</t>
        </is>
      </c>
      <c r="E26" s="49" t="n"/>
      <c r="F26" s="47" t="n"/>
      <c r="G26" s="47" t="n"/>
      <c r="H26" s="50" t="inlineStr">
        <is>
          <t>Highest</t>
        </is>
      </c>
      <c r="I26" s="50" t="n"/>
      <c r="J26" s="50" t="n">
        <v>5</v>
      </c>
      <c r="K26" s="47" t="inlineStr">
        <is>
          <t>Backend</t>
        </is>
      </c>
      <c r="L26" s="47" t="inlineStr">
        <is>
          <t>M0 Foundation</t>
        </is>
      </c>
      <c r="M26" s="47" t="inlineStr">
        <is>
          <t>backend</t>
        </is>
      </c>
      <c r="N26" s="43" t="inlineStr">
        <is>
          <t>Done</t>
        </is>
      </c>
      <c r="O26" s="36" t="inlineStr">
        <is>
          <t>ResolveWorkspace + bootstrap 404→403</t>
        </is>
      </c>
      <c r="P26" s="36" t="inlineStr">
        <is>
          <t>2026-09-22</t>
        </is>
      </c>
    </row>
    <row r="27" ht="15" customHeight="1" s="37">
      <c r="A27" s="47" t="inlineStr">
        <is>
          <t>A5-T3</t>
        </is>
      </c>
      <c r="B27" s="47" t="inlineStr">
        <is>
          <t>A5</t>
        </is>
      </c>
      <c r="C27" s="47" t="inlineStr">
        <is>
          <t>Sub-task</t>
        </is>
      </c>
      <c r="D27" s="48" t="inlineStr">
        <is>
          <t>Permission visibility tests across surfaces</t>
        </is>
      </c>
      <c r="E27" s="49" t="n"/>
      <c r="F27" s="47" t="n"/>
      <c r="G27" s="47" t="n"/>
      <c r="H27" s="50" t="inlineStr">
        <is>
          <t>Highest</t>
        </is>
      </c>
      <c r="I27" s="50" t="n"/>
      <c r="J27" s="50" t="n">
        <v>4</v>
      </c>
      <c r="K27" s="47" t="inlineStr">
        <is>
          <t>QA</t>
        </is>
      </c>
      <c r="L27" s="47" t="inlineStr">
        <is>
          <t>M0 Foundation</t>
        </is>
      </c>
      <c r="M27" s="47" t="inlineStr">
        <is>
          <t>qa</t>
        </is>
      </c>
      <c r="N27" s="43" t="inlineStr">
        <is>
          <t>Done</t>
        </is>
      </c>
      <c r="P27" s="36" t="inlineStr">
        <is>
          <t>2026-09-22</t>
        </is>
      </c>
    </row>
    <row r="28" ht="23.85" customHeight="1" s="37">
      <c r="A28" s="40" t="inlineStr">
        <is>
          <t>EPIC-B</t>
        </is>
      </c>
      <c r="B28" s="40" t="n"/>
      <c r="C28" s="40" t="inlineStr">
        <is>
          <t>Epic</t>
        </is>
      </c>
      <c r="D28" s="41" t="inlineStr">
        <is>
          <t>B — Editor &amp; document model</t>
        </is>
      </c>
      <c r="E28" s="41" t="inlineStr">
        <is>
          <t>The block editor, the structured SOP model, templates and paste fidelity.</t>
        </is>
      </c>
      <c r="F28" s="40" t="inlineStr">
        <is>
          <t>Editor &amp; document model</t>
        </is>
      </c>
      <c r="G28" s="40" t="n"/>
      <c r="H28" s="42" t="n"/>
      <c r="I28" s="42">
        <f>SUMIFS(I$2:I$273,G$2:G$273,"EPIC-B",C$2:C$273,"Story")</f>
        <v/>
      </c>
      <c r="J28" s="42">
        <f>SUMIFS(J$2:J$273,G$2:G$273,"EPIC-B",C$2:C$273,"Story")</f>
        <v/>
      </c>
      <c r="K28" s="40" t="n"/>
      <c r="L28" s="40" t="n"/>
      <c r="M28" s="40" t="inlineStr">
        <is>
          <t>epic</t>
        </is>
      </c>
      <c r="N28" s="43" t="inlineStr">
        <is>
          <t>Done</t>
        </is>
      </c>
      <c r="O28" s="36" t="inlineStr">
        <is>
          <t>21/21 sub-tasks done, 7/7 stories done</t>
        </is>
      </c>
      <c r="P28" s="36" t="inlineStr">
        <is>
          <t>2026-09-23</t>
        </is>
      </c>
    </row>
    <row r="29" ht="23.85" customHeight="1" s="37">
      <c r="A29" s="44" t="inlineStr">
        <is>
          <t>B1</t>
        </is>
      </c>
      <c r="B29" s="44" t="inlineStr">
        <is>
          <t>EPIC-B</t>
        </is>
      </c>
      <c r="C29" s="44" t="inlineStr">
        <is>
          <t>Story</t>
        </is>
      </c>
      <c r="D29" s="45" t="inlineStr">
        <is>
          <t>As an editor, I can write a document with headings, lists, tables, callouts and images.</t>
        </is>
      </c>
      <c r="E29" s="45" t="inlineStr">
        <is>
          <t>Content stored as structured JSON, never HTML, so diffing and chunking stay reliable.</t>
        </is>
      </c>
      <c r="F29" s="44" t="n"/>
      <c r="G29" s="44" t="inlineStr">
        <is>
          <t>EPIC-B</t>
        </is>
      </c>
      <c r="H29" s="46" t="inlineStr">
        <is>
          <t>Highest</t>
        </is>
      </c>
      <c r="I29" s="46" t="n">
        <v>13</v>
      </c>
      <c r="J29" s="46">
        <f>SUM(J30:J34)</f>
        <v/>
      </c>
      <c r="K29" s="44" t="n"/>
      <c r="L29" s="44" t="inlineStr">
        <is>
          <t>M0 Foundation</t>
        </is>
      </c>
      <c r="M29" s="44" t="inlineStr">
        <is>
          <t>p0,m0</t>
        </is>
      </c>
      <c r="N29" s="43" t="inlineStr">
        <is>
          <t>Done</t>
        </is>
      </c>
      <c r="O29" s="36" t="inlineStr">
        <is>
          <t>5/5 sub-tasks done</t>
        </is>
      </c>
      <c r="P29" s="36" t="inlineStr">
        <is>
          <t>2026-09-23</t>
        </is>
      </c>
    </row>
    <row r="30" ht="15" customHeight="1" s="37">
      <c r="A30" s="47" t="inlineStr">
        <is>
          <t>B1-T1</t>
        </is>
      </c>
      <c r="B30" s="47" t="inlineStr">
        <is>
          <t>B1</t>
        </is>
      </c>
      <c r="C30" s="47" t="inlineStr">
        <is>
          <t>Sub-task</t>
        </is>
      </c>
      <c r="D30" s="48" t="inlineStr">
        <is>
          <t>Editor foundation and structured JSON document model</t>
        </is>
      </c>
      <c r="E30" s="49" t="n"/>
      <c r="F30" s="47" t="n"/>
      <c r="G30" s="47" t="n"/>
      <c r="H30" s="50" t="inlineStr">
        <is>
          <t>Highest</t>
        </is>
      </c>
      <c r="I30" s="50" t="n"/>
      <c r="J30" s="50" t="n">
        <v>20</v>
      </c>
      <c r="K30" s="47" t="inlineStr">
        <is>
          <t>Frontend</t>
        </is>
      </c>
      <c r="L30" s="47" t="inlineStr">
        <is>
          <t>M0 Foundation</t>
        </is>
      </c>
      <c r="M30" s="47" t="inlineStr">
        <is>
          <t>frontend</t>
        </is>
      </c>
      <c r="N30" s="43" t="inlineStr">
        <is>
          <t>Done</t>
        </is>
      </c>
      <c r="O30" s="36" t="inlineStr">
        <is>
          <t>structured JSON Content model</t>
        </is>
      </c>
      <c r="P30" s="36" t="inlineStr">
        <is>
          <t>2026-09-22</t>
        </is>
      </c>
    </row>
    <row r="31" ht="15" customHeight="1" s="37">
      <c r="A31" s="47" t="inlineStr">
        <is>
          <t>B1-T2</t>
        </is>
      </c>
      <c r="B31" s="47" t="inlineStr">
        <is>
          <t>B1</t>
        </is>
      </c>
      <c r="C31" s="47" t="inlineStr">
        <is>
          <t>Sub-task</t>
        </is>
      </c>
      <c r="D31" s="48" t="inlineStr">
        <is>
          <t>Core blocks: headings, lists, tables, callouts, code</t>
        </is>
      </c>
      <c r="E31" s="49" t="n"/>
      <c r="F31" s="47" t="n"/>
      <c r="G31" s="47" t="n"/>
      <c r="H31" s="50" t="inlineStr">
        <is>
          <t>Highest</t>
        </is>
      </c>
      <c r="I31" s="50" t="n"/>
      <c r="J31" s="50" t="n">
        <v>20</v>
      </c>
      <c r="K31" s="47" t="inlineStr">
        <is>
          <t>Frontend</t>
        </is>
      </c>
      <c r="L31" s="47" t="inlineStr">
        <is>
          <t>M0 Foundation</t>
        </is>
      </c>
      <c r="M31" s="47" t="inlineStr">
        <is>
          <t>frontend</t>
        </is>
      </c>
      <c r="N31" s="43" t="inlineStr">
        <is>
          <t>Done</t>
        </is>
      </c>
      <c r="O31" s="36" t="inlineStr">
        <is>
          <t>block-editor: all F2 types, slash menu; 44e896b</t>
        </is>
      </c>
      <c r="P31" s="36" t="inlineStr">
        <is>
          <t>2026-09-22</t>
        </is>
      </c>
    </row>
    <row r="32" ht="15" customHeight="1" s="37">
      <c r="A32" s="47" t="inlineStr">
        <is>
          <t>B1-T3</t>
        </is>
      </c>
      <c r="B32" s="47" t="inlineStr">
        <is>
          <t>B1</t>
        </is>
      </c>
      <c r="C32" s="47" t="inlineStr">
        <is>
          <t>Sub-task</t>
        </is>
      </c>
      <c r="D32" s="48" t="inlineStr">
        <is>
          <t>Image upload to object storage, referenced by ID</t>
        </is>
      </c>
      <c r="E32" s="49" t="n"/>
      <c r="F32" s="47" t="n"/>
      <c r="G32" s="47" t="n"/>
      <c r="H32" s="50" t="inlineStr">
        <is>
          <t>Highest</t>
        </is>
      </c>
      <c r="I32" s="50" t="n"/>
      <c r="J32" s="50" t="n">
        <v>10</v>
      </c>
      <c r="K32" s="47" t="inlineStr">
        <is>
          <t>Full stack</t>
        </is>
      </c>
      <c r="L32" s="47" t="inlineStr">
        <is>
          <t>M0 Foundation</t>
        </is>
      </c>
      <c r="M32" s="47" t="inlineStr">
        <is>
          <t>full-stack</t>
        </is>
      </c>
      <c r="N32" s="43" t="inlineStr">
        <is>
          <t>Done</t>
        </is>
      </c>
      <c r="O32" s="36" t="inlineStr">
        <is>
          <t>editor images/files: presigned PUT, complete, signed URL after policy check; paste/drop upload; commit pending</t>
        </is>
      </c>
      <c r="P32" s="36" t="inlineStr">
        <is>
          <t>2026-09-23</t>
        </is>
      </c>
    </row>
    <row r="33" ht="15" customHeight="1" s="37">
      <c r="A33" s="47" t="inlineStr">
        <is>
          <t>B1-T4</t>
        </is>
      </c>
      <c r="B33" s="47" t="inlineStr">
        <is>
          <t>B1</t>
        </is>
      </c>
      <c r="C33" s="47" t="inlineStr">
        <is>
          <t>Sub-task</t>
        </is>
      </c>
      <c r="D33" s="48" t="inlineStr">
        <is>
          <t>Reader render parity with editor</t>
        </is>
      </c>
      <c r="E33" s="49" t="n"/>
      <c r="F33" s="47" t="n"/>
      <c r="G33" s="47" t="n"/>
      <c r="H33" s="50" t="inlineStr">
        <is>
          <t>Highest</t>
        </is>
      </c>
      <c r="I33" s="50" t="n"/>
      <c r="J33" s="50" t="n">
        <v>8</v>
      </c>
      <c r="K33" s="47" t="inlineStr">
        <is>
          <t>Frontend</t>
        </is>
      </c>
      <c r="L33" s="47" t="inlineStr">
        <is>
          <t>M0 Foundation</t>
        </is>
      </c>
      <c r="M33" s="47" t="inlineStr">
        <is>
          <t>frontend</t>
        </is>
      </c>
      <c r="N33" s="43" t="inlineStr">
        <is>
          <t>Done</t>
        </is>
      </c>
      <c r="O33" s="36" t="inlineStr">
        <is>
          <t>reader renders every block type</t>
        </is>
      </c>
      <c r="P33" s="36" t="inlineStr">
        <is>
          <t>2026-09-22</t>
        </is>
      </c>
    </row>
    <row r="34" ht="15" customHeight="1" s="37">
      <c r="A34" s="47" t="inlineStr">
        <is>
          <t>B1-T5</t>
        </is>
      </c>
      <c r="B34" s="47" t="inlineStr">
        <is>
          <t>B1</t>
        </is>
      </c>
      <c r="C34" s="47" t="inlineStr">
        <is>
          <t>Sub-task</t>
        </is>
      </c>
      <c r="D34" s="48" t="inlineStr">
        <is>
          <t>Round-trip save/load fidelity tests</t>
        </is>
      </c>
      <c r="E34" s="49" t="n"/>
      <c r="F34" s="47" t="n"/>
      <c r="G34" s="47" t="n"/>
      <c r="H34" s="50" t="inlineStr">
        <is>
          <t>Highest</t>
        </is>
      </c>
      <c r="I34" s="50" t="n"/>
      <c r="J34" s="50" t="n">
        <v>6</v>
      </c>
      <c r="K34" s="47" t="inlineStr">
        <is>
          <t>QA</t>
        </is>
      </c>
      <c r="L34" s="47" t="inlineStr">
        <is>
          <t>M0 Foundation</t>
        </is>
      </c>
      <c r="M34" s="47" t="inlineStr">
        <is>
          <t>qa</t>
        </is>
      </c>
      <c r="N34" s="43" t="inlineStr">
        <is>
          <t>Done</t>
        </is>
      </c>
      <c r="O34" s="36" t="inlineStr">
        <is>
          <t>EditorCompletionTest: every block type round-trips exactly; unknown types rejected; commit pending</t>
        </is>
      </c>
      <c r="P34" s="36" t="inlineStr">
        <is>
          <t>2026-09-23</t>
        </is>
      </c>
    </row>
    <row r="35" ht="15" customHeight="1" s="37">
      <c r="A35" s="44" t="inlineStr">
        <is>
          <t>B2</t>
        </is>
      </c>
      <c r="B35" s="44" t="inlineStr">
        <is>
          <t>EPIC-B</t>
        </is>
      </c>
      <c r="C35" s="44" t="inlineStr">
        <is>
          <t>Story</t>
        </is>
      </c>
      <c r="D35" s="45" t="inlineStr">
        <is>
          <t>As an editor, my work autosaves so I never lose a draft.</t>
        </is>
      </c>
      <c r="E35" s="45" t="inlineStr">
        <is>
          <t>Debounced at 2s with an explicit saved indicator, never a spinner.</t>
        </is>
      </c>
      <c r="F35" s="44" t="n"/>
      <c r="G35" s="44" t="inlineStr">
        <is>
          <t>EPIC-B</t>
        </is>
      </c>
      <c r="H35" s="46" t="inlineStr">
        <is>
          <t>Highest</t>
        </is>
      </c>
      <c r="I35" s="46" t="n">
        <v>3</v>
      </c>
      <c r="J35" s="46">
        <f>SUM(J36:J38)</f>
        <v/>
      </c>
      <c r="K35" s="44" t="n"/>
      <c r="L35" s="44" t="inlineStr">
        <is>
          <t>M0 Foundation</t>
        </is>
      </c>
      <c r="M35" s="44" t="inlineStr">
        <is>
          <t>p0,m0</t>
        </is>
      </c>
      <c r="N35" s="43" t="inlineStr">
        <is>
          <t>Done</t>
        </is>
      </c>
      <c r="O35" s="36" t="inlineStr">
        <is>
          <t>3/3 sub-tasks done</t>
        </is>
      </c>
      <c r="P35" s="36" t="inlineStr">
        <is>
          <t>2026-09-23</t>
        </is>
      </c>
    </row>
    <row r="36" ht="15" customHeight="1" s="37">
      <c r="A36" s="47" t="inlineStr">
        <is>
          <t>B2-T1</t>
        </is>
      </c>
      <c r="B36" s="47" t="inlineStr">
        <is>
          <t>B2</t>
        </is>
      </c>
      <c r="C36" s="47" t="inlineStr">
        <is>
          <t>Sub-task</t>
        </is>
      </c>
      <c r="D36" s="48" t="inlineStr">
        <is>
          <t>Debounced autosave and saved-state indicator</t>
        </is>
      </c>
      <c r="E36" s="49" t="n"/>
      <c r="F36" s="47" t="n"/>
      <c r="G36" s="47" t="n"/>
      <c r="H36" s="50" t="inlineStr">
        <is>
          <t>Highest</t>
        </is>
      </c>
      <c r="I36" s="50" t="n"/>
      <c r="J36" s="50" t="n">
        <v>6</v>
      </c>
      <c r="K36" s="47" t="inlineStr">
        <is>
          <t>Frontend</t>
        </is>
      </c>
      <c r="L36" s="47" t="inlineStr">
        <is>
          <t>M0 Foundation</t>
        </is>
      </c>
      <c r="M36" s="47" t="inlineStr">
        <is>
          <t>frontend</t>
        </is>
      </c>
      <c r="N36" s="43" t="inlineStr">
        <is>
          <t>Done</t>
        </is>
      </c>
      <c r="O36" s="36" t="inlineStr">
        <is>
          <t>2 s debounce, Saved hh:mm</t>
        </is>
      </c>
      <c r="P36" s="36" t="inlineStr">
        <is>
          <t>2026-09-22</t>
        </is>
      </c>
    </row>
    <row r="37" ht="15" customHeight="1" s="37">
      <c r="A37" s="47" t="inlineStr">
        <is>
          <t>B2-T2</t>
        </is>
      </c>
      <c r="B37" s="47" t="inlineStr">
        <is>
          <t>B2</t>
        </is>
      </c>
      <c r="C37" s="47" t="inlineStr">
        <is>
          <t>Sub-task</t>
        </is>
      </c>
      <c r="D37" s="48" t="inlineStr">
        <is>
          <t>Optimistic concurrency via expected_updated_at and 409</t>
        </is>
      </c>
      <c r="E37" s="49" t="n"/>
      <c r="F37" s="47" t="n"/>
      <c r="G37" s="47" t="n"/>
      <c r="H37" s="50" t="inlineStr">
        <is>
          <t>Highest</t>
        </is>
      </c>
      <c r="I37" s="50" t="n"/>
      <c r="J37" s="50" t="n">
        <v>6</v>
      </c>
      <c r="K37" s="47" t="inlineStr">
        <is>
          <t>Backend</t>
        </is>
      </c>
      <c r="L37" s="47" t="inlineStr">
        <is>
          <t>M0 Foundation</t>
        </is>
      </c>
      <c r="M37" s="47" t="inlineStr">
        <is>
          <t>backend</t>
        </is>
      </c>
      <c r="N37" s="43" t="inlineStr">
        <is>
          <t>Done</t>
        </is>
      </c>
      <c r="O37" s="36" t="inlineStr">
        <is>
          <t>expected_updated_at → 409</t>
        </is>
      </c>
      <c r="P37" s="36" t="inlineStr">
        <is>
          <t>2026-09-22</t>
        </is>
      </c>
    </row>
    <row r="38" ht="15" customHeight="1" s="37">
      <c r="A38" s="47" t="inlineStr">
        <is>
          <t>B2-T3</t>
        </is>
      </c>
      <c r="B38" s="47" t="inlineStr">
        <is>
          <t>B2</t>
        </is>
      </c>
      <c r="C38" s="47" t="inlineStr">
        <is>
          <t>Sub-task</t>
        </is>
      </c>
      <c r="D38" s="48" t="inlineStr">
        <is>
          <t>Mid-edit tab close recovery test</t>
        </is>
      </c>
      <c r="E38" s="49" t="n"/>
      <c r="F38" s="47" t="n"/>
      <c r="G38" s="47" t="n"/>
      <c r="H38" s="50" t="inlineStr">
        <is>
          <t>Highest</t>
        </is>
      </c>
      <c r="I38" s="50" t="n"/>
      <c r="J38" s="50" t="n">
        <v>2</v>
      </c>
      <c r="K38" s="47" t="inlineStr">
        <is>
          <t>QA</t>
        </is>
      </c>
      <c r="L38" s="47" t="inlineStr">
        <is>
          <t>M0 Foundation</t>
        </is>
      </c>
      <c r="M38" s="47" t="inlineStr">
        <is>
          <t>qa</t>
        </is>
      </c>
      <c r="N38" s="43" t="inlineStr">
        <is>
          <t>Done</t>
        </is>
      </c>
      <c r="O38" s="36" t="inlineStr">
        <is>
          <t>DraftBackup (local copy + restore only when server copy unchanged), keepalive PATCH on pagehide, beforeunload warning; spec; commit pending</t>
        </is>
      </c>
      <c r="P38" s="36" t="inlineStr">
        <is>
          <t>2026-09-23</t>
        </is>
      </c>
    </row>
    <row r="39" ht="23.85" customHeight="1" s="37">
      <c r="A39" s="44" t="inlineStr">
        <is>
          <t>B3</t>
        </is>
      </c>
      <c r="B39" s="44" t="inlineStr">
        <is>
          <t>EPIC-B</t>
        </is>
      </c>
      <c r="C39" s="44" t="inlineStr">
        <is>
          <t>Story</t>
        </is>
      </c>
      <c r="D39" s="45" t="inlineStr">
        <is>
          <t>As an editor, I can build an SOP with structured steps I can reorder and renumber automatically.</t>
        </is>
      </c>
      <c r="E39" s="45" t="inlineStr">
        <is>
          <t>Steps are rows as well as content, so they can be cited by ID.</t>
        </is>
      </c>
      <c r="F39" s="44" t="n"/>
      <c r="G39" s="44" t="inlineStr">
        <is>
          <t>EPIC-B</t>
        </is>
      </c>
      <c r="H39" s="46" t="inlineStr">
        <is>
          <t>Highest</t>
        </is>
      </c>
      <c r="I39" s="46" t="n">
        <v>8</v>
      </c>
      <c r="J39" s="46">
        <f>SUM(J40:J43)</f>
        <v/>
      </c>
      <c r="K39" s="44" t="n"/>
      <c r="L39" s="44" t="inlineStr">
        <is>
          <t>M0 Foundation</t>
        </is>
      </c>
      <c r="M39" s="44" t="inlineStr">
        <is>
          <t>p0,m0</t>
        </is>
      </c>
      <c r="N39" s="43" t="inlineStr">
        <is>
          <t>Done</t>
        </is>
      </c>
      <c r="O39" s="36" t="inlineStr">
        <is>
          <t>4/4 sub-tasks done</t>
        </is>
      </c>
      <c r="P39" s="36" t="inlineStr">
        <is>
          <t>2026-09-23</t>
        </is>
      </c>
    </row>
    <row r="40" ht="15" customHeight="1" s="37">
      <c r="A40" s="47" t="inlineStr">
        <is>
          <t>B3-T1</t>
        </is>
      </c>
      <c r="B40" s="47" t="inlineStr">
        <is>
          <t>B3</t>
        </is>
      </c>
      <c r="C40" s="47" t="inlineStr">
        <is>
          <t>Sub-task</t>
        </is>
      </c>
      <c r="D40" s="48" t="inlineStr">
        <is>
          <t>document_steps schema and step CRUD API</t>
        </is>
      </c>
      <c r="E40" s="49" t="n"/>
      <c r="F40" s="47" t="n"/>
      <c r="G40" s="47" t="n"/>
      <c r="H40" s="50" t="inlineStr">
        <is>
          <t>Highest</t>
        </is>
      </c>
      <c r="I40" s="50" t="n"/>
      <c r="J40" s="50" t="n">
        <v>8</v>
      </c>
      <c r="K40" s="47" t="inlineStr">
        <is>
          <t>Backend</t>
        </is>
      </c>
      <c r="L40" s="47" t="inlineStr">
        <is>
          <t>M0 Foundation</t>
        </is>
      </c>
      <c r="M40" s="47" t="inlineStr">
        <is>
          <t>backend</t>
        </is>
      </c>
      <c r="N40" s="43" t="inlineStr">
        <is>
          <t>Done</t>
        </is>
      </c>
      <c r="P40" s="36" t="inlineStr">
        <is>
          <t>2026-09-22</t>
        </is>
      </c>
    </row>
    <row r="41" ht="15" customHeight="1" s="37">
      <c r="A41" s="47" t="inlineStr">
        <is>
          <t>B3-T2</t>
        </is>
      </c>
      <c r="B41" s="47" t="inlineStr">
        <is>
          <t>B3</t>
        </is>
      </c>
      <c r="C41" s="47" t="inlineStr">
        <is>
          <t>Sub-task</t>
        </is>
      </c>
      <c r="D41" s="48" t="inlineStr">
        <is>
          <t>Step editor with drag reorder and live renumber (S8)</t>
        </is>
      </c>
      <c r="E41" s="49" t="n"/>
      <c r="F41" s="47" t="n"/>
      <c r="G41" s="47" t="n"/>
      <c r="H41" s="50" t="inlineStr">
        <is>
          <t>Highest</t>
        </is>
      </c>
      <c r="I41" s="50" t="n"/>
      <c r="J41" s="50" t="n">
        <v>14</v>
      </c>
      <c r="K41" s="47" t="inlineStr">
        <is>
          <t>Frontend</t>
        </is>
      </c>
      <c r="L41" s="47" t="inlineStr">
        <is>
          <t>M0 Foundation</t>
        </is>
      </c>
      <c r="M41" s="47" t="inlineStr">
        <is>
          <t>frontend</t>
        </is>
      </c>
      <c r="N41" s="43" t="inlineStr">
        <is>
          <t>Done</t>
        </is>
      </c>
      <c r="O41" s="36" t="inlineStr">
        <is>
          <t>CDK drag-drop with handle for steps and blocks; live renumber; arrows kept for keyboard; commit pending</t>
        </is>
      </c>
      <c r="P41" s="36" t="inlineStr">
        <is>
          <t>2026-09-23</t>
        </is>
      </c>
    </row>
    <row r="42" ht="15" customHeight="1" s="37">
      <c r="A42" s="47" t="inlineStr">
        <is>
          <t>B3-T3</t>
        </is>
      </c>
      <c r="B42" s="47" t="inlineStr">
        <is>
          <t>B3</t>
        </is>
      </c>
      <c r="C42" s="47" t="inlineStr">
        <is>
          <t>Sub-task</t>
        </is>
      </c>
      <c r="D42" s="48" t="inlineStr">
        <is>
          <t>Block submit when a SOP has zero steps</t>
        </is>
      </c>
      <c r="E42" s="49" t="n"/>
      <c r="F42" s="47" t="n"/>
      <c r="G42" s="47" t="n"/>
      <c r="H42" s="50" t="inlineStr">
        <is>
          <t>Highest</t>
        </is>
      </c>
      <c r="I42" s="50" t="n"/>
      <c r="J42" s="50" t="n">
        <v>3</v>
      </c>
      <c r="K42" s="47" t="inlineStr">
        <is>
          <t>Backend</t>
        </is>
      </c>
      <c r="L42" s="47" t="inlineStr">
        <is>
          <t>M0 Foundation</t>
        </is>
      </c>
      <c r="M42" s="47" t="inlineStr">
        <is>
          <t>backend</t>
        </is>
      </c>
      <c r="N42" s="43" t="inlineStr">
        <is>
          <t>Done</t>
        </is>
      </c>
      <c r="O42" s="36" t="inlineStr">
        <is>
          <t>submit-check</t>
        </is>
      </c>
      <c r="P42" s="36" t="inlineStr">
        <is>
          <t>2026-09-22</t>
        </is>
      </c>
    </row>
    <row r="43" ht="15" customHeight="1" s="37">
      <c r="A43" s="47" t="inlineStr">
        <is>
          <t>B3-T4</t>
        </is>
      </c>
      <c r="B43" s="47" t="inlineStr">
        <is>
          <t>B3</t>
        </is>
      </c>
      <c r="C43" s="47" t="inlineStr">
        <is>
          <t>Sub-task</t>
        </is>
      </c>
      <c r="D43" s="48" t="inlineStr">
        <is>
          <t>Reorder and renumber correctness tests</t>
        </is>
      </c>
      <c r="E43" s="49" t="n"/>
      <c r="F43" s="47" t="n"/>
      <c r="G43" s="47" t="n"/>
      <c r="H43" s="50" t="inlineStr">
        <is>
          <t>Highest</t>
        </is>
      </c>
      <c r="I43" s="50" t="n"/>
      <c r="J43" s="50" t="n">
        <v>3</v>
      </c>
      <c r="K43" s="47" t="inlineStr">
        <is>
          <t>QA</t>
        </is>
      </c>
      <c r="L43" s="47" t="inlineStr">
        <is>
          <t>M0 Foundation</t>
        </is>
      </c>
      <c r="M43" s="47" t="inlineStr">
        <is>
          <t>qa</t>
        </is>
      </c>
      <c r="N43" s="43" t="inlineStr">
        <is>
          <t>Done</t>
        </is>
      </c>
      <c r="P43" s="36" t="inlineStr">
        <is>
          <t>2026-09-22</t>
        </is>
      </c>
    </row>
    <row r="44" ht="23.85" customHeight="1" s="37">
      <c r="A44" s="44" t="inlineStr">
        <is>
          <t>B4</t>
        </is>
      </c>
      <c r="B44" s="44" t="inlineStr">
        <is>
          <t>EPIC-B</t>
        </is>
      </c>
      <c r="C44" s="44" t="inlineStr">
        <is>
          <t>Story</t>
        </is>
      </c>
      <c r="D44" s="45" t="inlineStr">
        <is>
          <t>As an editor, I can mark a step critical or a checkpoint so readers see what matters.</t>
        </is>
      </c>
      <c r="E44" s="45" t="inlineStr">
        <is>
          <t>Critical steps always appear in chatbot answers about that process.</t>
        </is>
      </c>
      <c r="F44" s="44" t="n"/>
      <c r="G44" s="44" t="inlineStr">
        <is>
          <t>EPIC-B</t>
        </is>
      </c>
      <c r="H44" s="46" t="inlineStr">
        <is>
          <t>High</t>
        </is>
      </c>
      <c r="I44" s="46" t="n">
        <v>3</v>
      </c>
      <c r="J44" s="46">
        <f>SUM(J45:J46)</f>
        <v/>
      </c>
      <c r="K44" s="44" t="n"/>
      <c r="L44" s="44" t="inlineStr">
        <is>
          <t>M0 Foundation</t>
        </is>
      </c>
      <c r="M44" s="44" t="inlineStr">
        <is>
          <t>p1,m0</t>
        </is>
      </c>
      <c r="N44" s="43" t="inlineStr">
        <is>
          <t>Done</t>
        </is>
      </c>
      <c r="O44" s="36" t="inlineStr">
        <is>
          <t>2/2 sub-tasks done</t>
        </is>
      </c>
      <c r="P44" s="36" t="inlineStr">
        <is>
          <t>2026-09-22</t>
        </is>
      </c>
    </row>
    <row r="45" ht="15" customHeight="1" s="37">
      <c r="A45" s="47" t="inlineStr">
        <is>
          <t>B4-T1</t>
        </is>
      </c>
      <c r="B45" s="47" t="inlineStr">
        <is>
          <t>B4</t>
        </is>
      </c>
      <c r="C45" s="47" t="inlineStr">
        <is>
          <t>Sub-task</t>
        </is>
      </c>
      <c r="D45" s="48" t="inlineStr">
        <is>
          <t>Add critical and checkpoint flags to schema and API</t>
        </is>
      </c>
      <c r="E45" s="49" t="n"/>
      <c r="F45" s="47" t="n"/>
      <c r="G45" s="47" t="n"/>
      <c r="H45" s="50" t="inlineStr">
        <is>
          <t>High</t>
        </is>
      </c>
      <c r="I45" s="50" t="n"/>
      <c r="J45" s="50" t="n">
        <v>3</v>
      </c>
      <c r="K45" s="47" t="inlineStr">
        <is>
          <t>Backend</t>
        </is>
      </c>
      <c r="L45" s="47" t="inlineStr">
        <is>
          <t>M0 Foundation</t>
        </is>
      </c>
      <c r="M45" s="47" t="inlineStr">
        <is>
          <t>backend</t>
        </is>
      </c>
      <c r="N45" s="43" t="inlineStr">
        <is>
          <t>Done</t>
        </is>
      </c>
      <c r="P45" s="36" t="inlineStr">
        <is>
          <t>2026-09-22</t>
        </is>
      </c>
    </row>
    <row r="46" ht="15" customHeight="1" s="37">
      <c r="A46" s="47" t="inlineStr">
        <is>
          <t>B4-T2</t>
        </is>
      </c>
      <c r="B46" s="47" t="inlineStr">
        <is>
          <t>B4</t>
        </is>
      </c>
      <c r="C46" s="47" t="inlineStr">
        <is>
          <t>Sub-task</t>
        </is>
      </c>
      <c r="D46" s="48" t="inlineStr">
        <is>
          <t>Editor controls and reader amber-rule treatment</t>
        </is>
      </c>
      <c r="E46" s="49" t="n"/>
      <c r="F46" s="47" t="n"/>
      <c r="G46" s="47" t="n"/>
      <c r="H46" s="50" t="inlineStr">
        <is>
          <t>High</t>
        </is>
      </c>
      <c r="I46" s="50" t="n"/>
      <c r="J46" s="50" t="n">
        <v>7</v>
      </c>
      <c r="K46" s="47" t="inlineStr">
        <is>
          <t>Frontend</t>
        </is>
      </c>
      <c r="L46" s="47" t="inlineStr">
        <is>
          <t>M0 Foundation</t>
        </is>
      </c>
      <c r="M46" s="47" t="inlineStr">
        <is>
          <t>frontend</t>
        </is>
      </c>
      <c r="N46" s="43" t="inlineStr">
        <is>
          <t>Done</t>
        </is>
      </c>
      <c r="P46" s="36" t="inlineStr">
        <is>
          <t>2026-09-22</t>
        </is>
      </c>
    </row>
    <row r="47" ht="23.85" customHeight="1" s="37">
      <c r="A47" s="44" t="inlineStr">
        <is>
          <t>B5</t>
        </is>
      </c>
      <c r="B47" s="44" t="inlineStr">
        <is>
          <t>EPIC-B</t>
        </is>
      </c>
      <c r="C47" s="44" t="inlineStr">
        <is>
          <t>Story</t>
        </is>
      </c>
      <c r="D47" s="45" t="inlineStr">
        <is>
          <t>As an editor, I can start from a template (blank, onboarding, playbook, policy).</t>
        </is>
      </c>
      <c r="E47" s="45" t="inlineStr">
        <is>
          <t>Workspaces can also save their own templates.</t>
        </is>
      </c>
      <c r="F47" s="44" t="n"/>
      <c r="G47" s="44" t="inlineStr">
        <is>
          <t>EPIC-B</t>
        </is>
      </c>
      <c r="H47" s="46" t="inlineStr">
        <is>
          <t>High</t>
        </is>
      </c>
      <c r="I47" s="46" t="n">
        <v>5</v>
      </c>
      <c r="J47" s="46">
        <f>SUM(J48:J50)</f>
        <v/>
      </c>
      <c r="K47" s="44" t="n"/>
      <c r="L47" s="44" t="inlineStr">
        <is>
          <t>M0 Foundation</t>
        </is>
      </c>
      <c r="M47" s="44" t="inlineStr">
        <is>
          <t>p1,m0</t>
        </is>
      </c>
      <c r="N47" s="43" t="inlineStr">
        <is>
          <t>Done</t>
        </is>
      </c>
      <c r="O47" s="36" t="inlineStr">
        <is>
          <t>3/3 sub-tasks done</t>
        </is>
      </c>
      <c r="P47" s="36" t="inlineStr">
        <is>
          <t>2026-09-23</t>
        </is>
      </c>
    </row>
    <row r="48" ht="15" customHeight="1" s="37">
      <c r="A48" s="47" t="inlineStr">
        <is>
          <t>B5-T1</t>
        </is>
      </c>
      <c r="B48" s="47" t="inlineStr">
        <is>
          <t>B5</t>
        </is>
      </c>
      <c r="C48" s="47" t="inlineStr">
        <is>
          <t>Sub-task</t>
        </is>
      </c>
      <c r="D48" s="48" t="inlineStr">
        <is>
          <t>Template storage and four seeded templates</t>
        </is>
      </c>
      <c r="E48" s="49" t="n"/>
      <c r="F48" s="47" t="n"/>
      <c r="G48" s="47" t="n"/>
      <c r="H48" s="50" t="inlineStr">
        <is>
          <t>High</t>
        </is>
      </c>
      <c r="I48" s="50" t="n"/>
      <c r="J48" s="50" t="n">
        <v>6</v>
      </c>
      <c r="K48" s="47" t="inlineStr">
        <is>
          <t>Backend</t>
        </is>
      </c>
      <c r="L48" s="47" t="inlineStr">
        <is>
          <t>M0 Foundation</t>
        </is>
      </c>
      <c r="M48" s="47" t="inlineStr">
        <is>
          <t>backend</t>
        </is>
      </c>
      <c r="N48" s="43" t="inlineStr">
        <is>
          <t>Done</t>
        </is>
      </c>
      <c r="O48" s="36" t="inlineStr">
        <is>
          <t>four seeded templates</t>
        </is>
      </c>
      <c r="P48" s="36" t="inlineStr">
        <is>
          <t>2026-09-22</t>
        </is>
      </c>
    </row>
    <row r="49" ht="15" customHeight="1" s="37">
      <c r="A49" s="47" t="inlineStr">
        <is>
          <t>B5-T2</t>
        </is>
      </c>
      <c r="B49" s="47" t="inlineStr">
        <is>
          <t>B5</t>
        </is>
      </c>
      <c r="C49" s="47" t="inlineStr">
        <is>
          <t>Sub-task</t>
        </is>
      </c>
      <c r="D49" s="48" t="inlineStr">
        <is>
          <t>Template picker and create-from-template flow</t>
        </is>
      </c>
      <c r="E49" s="49" t="n"/>
      <c r="F49" s="47" t="n"/>
      <c r="G49" s="47" t="n"/>
      <c r="H49" s="50" t="inlineStr">
        <is>
          <t>High</t>
        </is>
      </c>
      <c r="I49" s="50" t="n"/>
      <c r="J49" s="50" t="n">
        <v>8</v>
      </c>
      <c r="K49" s="47" t="inlineStr">
        <is>
          <t>Frontend</t>
        </is>
      </c>
      <c r="L49" s="47" t="inlineStr">
        <is>
          <t>M0 Foundation</t>
        </is>
      </c>
      <c r="M49" s="47" t="inlineStr">
        <is>
          <t>frontend</t>
        </is>
      </c>
      <c r="N49" s="43" t="inlineStr">
        <is>
          <t>Done</t>
        </is>
      </c>
      <c r="O49" s="36" t="inlineStr">
        <is>
          <t>space browser create-from-template</t>
        </is>
      </c>
      <c r="P49" s="36" t="inlineStr">
        <is>
          <t>2026-09-22</t>
        </is>
      </c>
    </row>
    <row r="50" ht="15" customHeight="1" s="37">
      <c r="A50" s="47" t="inlineStr">
        <is>
          <t>B5-T3</t>
        </is>
      </c>
      <c r="B50" s="47" t="inlineStr">
        <is>
          <t>B5</t>
        </is>
      </c>
      <c r="C50" s="47" t="inlineStr">
        <is>
          <t>Sub-task</t>
        </is>
      </c>
      <c r="D50" s="48" t="inlineStr">
        <is>
          <t>Workspace-defined custom templates</t>
        </is>
      </c>
      <c r="E50" s="49" t="n"/>
      <c r="F50" s="47" t="n"/>
      <c r="G50" s="47" t="n"/>
      <c r="H50" s="50" t="inlineStr">
        <is>
          <t>High</t>
        </is>
      </c>
      <c r="I50" s="50" t="n"/>
      <c r="J50" s="50" t="n">
        <v>5</v>
      </c>
      <c r="K50" s="47" t="inlineStr">
        <is>
          <t>Full stack</t>
        </is>
      </c>
      <c r="L50" s="47" t="inlineStr">
        <is>
          <t>M0 Foundation</t>
        </is>
      </c>
      <c r="M50" s="47" t="inlineStr">
        <is>
          <t>full-stack</t>
        </is>
      </c>
      <c r="N50" s="43" t="inlineStr">
        <is>
          <t>Done</t>
        </is>
      </c>
      <c r="O50" s="36" t="inlineStr">
        <is>
          <t>document_templates; save from document, grouped picker, delete by creator/admin; commit pending</t>
        </is>
      </c>
      <c r="P50" s="36" t="inlineStr">
        <is>
          <t>2026-09-23</t>
        </is>
      </c>
    </row>
    <row r="51" ht="23.85" customHeight="1" s="37">
      <c r="A51" s="44" t="inlineStr">
        <is>
          <t>B6</t>
        </is>
      </c>
      <c r="B51" s="44" t="inlineStr">
        <is>
          <t>EPIC-B</t>
        </is>
      </c>
      <c r="C51" s="44" t="inlineStr">
        <is>
          <t>Story</t>
        </is>
      </c>
      <c r="D51" s="45" t="inlineStr">
        <is>
          <t>As an editor, I can paste from Google Docs or Notion without losing structure.</t>
        </is>
      </c>
      <c r="E51" s="45" t="inlineStr">
        <is>
          <t>Headings, lists and tables must survive, including nesting.</t>
        </is>
      </c>
      <c r="F51" s="44" t="n"/>
      <c r="G51" s="44" t="inlineStr">
        <is>
          <t>EPIC-B</t>
        </is>
      </c>
      <c r="H51" s="46" t="inlineStr">
        <is>
          <t>High</t>
        </is>
      </c>
      <c r="I51" s="46" t="n">
        <v>5</v>
      </c>
      <c r="J51" s="46">
        <f>SUM(J52:J53)</f>
        <v/>
      </c>
      <c r="K51" s="44" t="n"/>
      <c r="L51" s="44" t="inlineStr">
        <is>
          <t>M0 Foundation</t>
        </is>
      </c>
      <c r="M51" s="44" t="inlineStr">
        <is>
          <t>p1,m0</t>
        </is>
      </c>
      <c r="N51" s="43" t="inlineStr">
        <is>
          <t>Done</t>
        </is>
      </c>
      <c r="O51" s="36" t="inlineStr">
        <is>
          <t>2/2 sub-tasks done</t>
        </is>
      </c>
      <c r="P51" s="36" t="inlineStr">
        <is>
          <t>2026-09-23</t>
        </is>
      </c>
    </row>
    <row r="52" ht="15" customHeight="1" s="37">
      <c r="A52" s="47" t="inlineStr">
        <is>
          <t>B6-T1</t>
        </is>
      </c>
      <c r="B52" s="47" t="inlineStr">
        <is>
          <t>B6</t>
        </is>
      </c>
      <c r="C52" s="47" t="inlineStr">
        <is>
          <t>Sub-task</t>
        </is>
      </c>
      <c r="D52" s="48" t="inlineStr">
        <is>
          <t>Paste transformer for headings, lists and tables</t>
        </is>
      </c>
      <c r="E52" s="49" t="n"/>
      <c r="F52" s="47" t="n"/>
      <c r="G52" s="47" t="n"/>
      <c r="H52" s="50" t="inlineStr">
        <is>
          <t>High</t>
        </is>
      </c>
      <c r="I52" s="50" t="n"/>
      <c r="J52" s="50" t="n">
        <v>12</v>
      </c>
      <c r="K52" s="47" t="inlineStr">
        <is>
          <t>Frontend</t>
        </is>
      </c>
      <c r="L52" s="47" t="inlineStr">
        <is>
          <t>M0 Foundation</t>
        </is>
      </c>
      <c r="M52" s="47" t="inlineStr">
        <is>
          <t>frontend</t>
        </is>
      </c>
      <c r="N52" s="43" t="inlineStr">
        <is>
          <t>Done</t>
        </is>
      </c>
      <c r="O52" s="36" t="inlineStr">
        <is>
          <t>paste.ts: plain text + HTML (Word/Docs/Confluence)</t>
        </is>
      </c>
      <c r="P52" s="36" t="inlineStr">
        <is>
          <t>2026-09-22</t>
        </is>
      </c>
    </row>
    <row r="53" ht="15" customHeight="1" s="37">
      <c r="A53" s="47" t="inlineStr">
        <is>
          <t>B6-T2</t>
        </is>
      </c>
      <c r="B53" s="47" t="inlineStr">
        <is>
          <t>B6</t>
        </is>
      </c>
      <c r="C53" s="47" t="inlineStr">
        <is>
          <t>Sub-task</t>
        </is>
      </c>
      <c r="D53" s="48" t="inlineStr">
        <is>
          <t>Nested list and table fidelity tests across sources</t>
        </is>
      </c>
      <c r="E53" s="49" t="n"/>
      <c r="F53" s="47" t="n"/>
      <c r="G53" s="47" t="n"/>
      <c r="H53" s="50" t="inlineStr">
        <is>
          <t>High</t>
        </is>
      </c>
      <c r="I53" s="50" t="n"/>
      <c r="J53" s="50" t="n">
        <v>5</v>
      </c>
      <c r="K53" s="47" t="inlineStr">
        <is>
          <t>QA</t>
        </is>
      </c>
      <c r="L53" s="47" t="inlineStr">
        <is>
          <t>M0 Foundation</t>
        </is>
      </c>
      <c r="M53" s="47" t="inlineStr">
        <is>
          <t>qa</t>
        </is>
      </c>
      <c r="N53" s="43" t="inlineStr">
        <is>
          <t>Done</t>
        </is>
      </c>
      <c r="O53" s="36" t="inlineStr">
        <is>
          <t>nested lists (levels) from plain text, Notion, Google Docs, Word; ragged/colspan tables; spec; commit pending</t>
        </is>
      </c>
      <c r="P53" s="36" t="inlineStr">
        <is>
          <t>2026-09-23</t>
        </is>
      </c>
    </row>
    <row r="54" ht="15" customHeight="1" s="37">
      <c r="A54" s="44" t="inlineStr">
        <is>
          <t>B7</t>
        </is>
      </c>
      <c r="B54" s="44" t="inlineStr">
        <is>
          <t>EPIC-B</t>
        </is>
      </c>
      <c r="C54" s="44" t="inlineStr">
        <is>
          <t>Story</t>
        </is>
      </c>
      <c r="D54" s="45" t="inlineStr">
        <is>
          <t>As an editor, I can link to another internal document.</t>
        </is>
      </c>
      <c r="E54" s="45" t="inlineStr">
        <is>
          <t>Cross-linking replaces multi-filing; a document lives in one folder.</t>
        </is>
      </c>
      <c r="F54" s="44" t="n"/>
      <c r="G54" s="44" t="inlineStr">
        <is>
          <t>EPIC-B</t>
        </is>
      </c>
      <c r="H54" s="46" t="inlineStr">
        <is>
          <t>High</t>
        </is>
      </c>
      <c r="I54" s="46" t="n">
        <v>3</v>
      </c>
      <c r="J54" s="46">
        <f>SUM(J55:J56)</f>
        <v/>
      </c>
      <c r="K54" s="44" t="n"/>
      <c r="L54" s="44" t="inlineStr">
        <is>
          <t>M0 Foundation</t>
        </is>
      </c>
      <c r="M54" s="44" t="inlineStr">
        <is>
          <t>p1,m0</t>
        </is>
      </c>
      <c r="N54" s="43" t="inlineStr">
        <is>
          <t>Done</t>
        </is>
      </c>
      <c r="O54" s="36" t="inlineStr">
        <is>
          <t>2/2 sub-tasks done</t>
        </is>
      </c>
      <c r="P54" s="36" t="inlineStr">
        <is>
          <t>2026-09-23</t>
        </is>
      </c>
    </row>
    <row r="55" ht="15" customHeight="1" s="37">
      <c r="A55" s="47" t="inlineStr">
        <is>
          <t>B7-T1</t>
        </is>
      </c>
      <c r="B55" s="47" t="inlineStr">
        <is>
          <t>B7</t>
        </is>
      </c>
      <c r="C55" s="47" t="inlineStr">
        <is>
          <t>Sub-task</t>
        </is>
      </c>
      <c r="D55" s="48" t="inlineStr">
        <is>
          <t>Internal link block and document picker</t>
        </is>
      </c>
      <c r="E55" s="49" t="n"/>
      <c r="F55" s="47" t="n"/>
      <c r="G55" s="47" t="n"/>
      <c r="H55" s="50" t="inlineStr">
        <is>
          <t>High</t>
        </is>
      </c>
      <c r="I55" s="50" t="n"/>
      <c r="J55" s="50" t="n">
        <v>7</v>
      </c>
      <c r="K55" s="47" t="inlineStr">
        <is>
          <t>Frontend</t>
        </is>
      </c>
      <c r="L55" s="47" t="inlineStr">
        <is>
          <t>M0 Foundation</t>
        </is>
      </c>
      <c r="M55" s="47" t="inlineStr">
        <is>
          <t>frontend</t>
        </is>
      </c>
      <c r="N55" s="43" t="inlineStr">
        <is>
          <t>Done</t>
        </is>
      </c>
      <c r="O55" s="36" t="inlineStr">
        <is>
          <t>link-to-document block with title search picker; commit pending</t>
        </is>
      </c>
      <c r="P55" s="36" t="inlineStr">
        <is>
          <t>2026-09-23</t>
        </is>
      </c>
    </row>
    <row r="56" ht="15" customHeight="1" s="37">
      <c r="A56" s="47" t="inlineStr">
        <is>
          <t>B7-T2</t>
        </is>
      </c>
      <c r="B56" s="47" t="inlineStr">
        <is>
          <t>B7</t>
        </is>
      </c>
      <c r="C56" s="47" t="inlineStr">
        <is>
          <t>Sub-task</t>
        </is>
      </c>
      <c r="D56" s="48" t="inlineStr">
        <is>
          <t>Backlink resolution and broken-link handling</t>
        </is>
      </c>
      <c r="E56" s="49" t="n"/>
      <c r="F56" s="47" t="n"/>
      <c r="G56" s="47" t="n"/>
      <c r="H56" s="50" t="inlineStr">
        <is>
          <t>High</t>
        </is>
      </c>
      <c r="I56" s="50" t="n"/>
      <c r="J56" s="50" t="n">
        <v>4</v>
      </c>
      <c r="K56" s="47" t="inlineStr">
        <is>
          <t>Backend</t>
        </is>
      </c>
      <c r="L56" s="47" t="inlineStr">
        <is>
          <t>M0 Foundation</t>
        </is>
      </c>
      <c r="M56" s="47" t="inlineStr">
        <is>
          <t>backend</t>
        </is>
      </c>
      <c r="N56" s="43" t="inlineStr">
        <is>
          <t>Done</t>
        </is>
      </c>
      <c r="O56" s="36" t="inlineStr">
        <is>
          <t>document_links graph, backlinks in reader, unavailable state for deleted/forbidden targets; commit pending</t>
        </is>
      </c>
      <c r="P56" s="36" t="inlineStr">
        <is>
          <t>2026-09-23</t>
        </is>
      </c>
    </row>
    <row r="57" ht="23.85" customHeight="1" s="37">
      <c r="A57" s="40" t="inlineStr">
        <is>
          <t>EPIC-C</t>
        </is>
      </c>
      <c r="B57" s="40" t="n"/>
      <c r="C57" s="40" t="inlineStr">
        <is>
          <t>Epic</t>
        </is>
      </c>
      <c r="D57" s="41" t="inlineStr">
        <is>
          <t>C — Recording capture</t>
        </is>
      </c>
      <c r="E57" s="41" t="inlineStr">
        <is>
          <t>Browser screen capture, resumable upload and honest pipeline status.</t>
        </is>
      </c>
      <c r="F57" s="40" t="inlineStr">
        <is>
          <t>Recording capture</t>
        </is>
      </c>
      <c r="G57" s="40" t="n"/>
      <c r="H57" s="42" t="n"/>
      <c r="I57" s="42">
        <f>SUMIFS(I$2:I$273,G$2:G$273,"EPIC-C",C$2:C$273,"Story")</f>
        <v/>
      </c>
      <c r="J57" s="42">
        <f>SUMIFS(J$2:J$273,G$2:G$273,"EPIC-C",C$2:C$273,"Story")</f>
        <v/>
      </c>
      <c r="K57" s="40" t="n"/>
      <c r="L57" s="40" t="n"/>
      <c r="M57" s="40" t="inlineStr">
        <is>
          <t>epic</t>
        </is>
      </c>
      <c r="N57" s="43" t="inlineStr">
        <is>
          <t>Done</t>
        </is>
      </c>
      <c r="O57" s="36" t="inlineStr">
        <is>
          <t>13/13 sub-tasks done, 4/4 stories done</t>
        </is>
      </c>
      <c r="P57" s="36" t="inlineStr">
        <is>
          <t>2026-09-23</t>
        </is>
      </c>
    </row>
    <row r="58" ht="23.85" customHeight="1" s="37">
      <c r="A58" s="44" t="inlineStr">
        <is>
          <t>C1</t>
        </is>
      </c>
      <c r="B58" s="44" t="inlineStr">
        <is>
          <t>EPIC-C</t>
        </is>
      </c>
      <c r="C58" s="44" t="inlineStr">
        <is>
          <t>Story</t>
        </is>
      </c>
      <c r="D58" s="45" t="inlineStr">
        <is>
          <t>As a contributor, I can record my screen and voice in the browser and upload it.</t>
        </is>
      </c>
      <c r="E58" s="45" t="inlineStr">
        <is>
          <t>Browser capture only for v1. Half of the wedge.</t>
        </is>
      </c>
      <c r="F58" s="44" t="n"/>
      <c r="G58" s="44" t="inlineStr">
        <is>
          <t>EPIC-C</t>
        </is>
      </c>
      <c r="H58" s="46" t="inlineStr">
        <is>
          <t>Highest</t>
        </is>
      </c>
      <c r="I58" s="46" t="n">
        <v>13</v>
      </c>
      <c r="J58" s="46">
        <f>SUM(J59:J63)</f>
        <v/>
      </c>
      <c r="K58" s="44" t="n"/>
      <c r="L58" s="44" t="inlineStr">
        <is>
          <t>M1 Prove the wedge</t>
        </is>
      </c>
      <c r="M58" s="44" t="inlineStr">
        <is>
          <t>p0,m1</t>
        </is>
      </c>
      <c r="N58" s="43" t="inlineStr">
        <is>
          <t>Done</t>
        </is>
      </c>
      <c r="O58" s="36" t="inlineStr">
        <is>
          <t>5/5 sub-tasks done</t>
        </is>
      </c>
      <c r="P58" s="36" t="inlineStr">
        <is>
          <t>2026-09-23</t>
        </is>
      </c>
    </row>
    <row r="59" ht="15" customHeight="1" s="37">
      <c r="A59" s="47" t="inlineStr">
        <is>
          <t>C1-T1</t>
        </is>
      </c>
      <c r="B59" s="47" t="inlineStr">
        <is>
          <t>C1</t>
        </is>
      </c>
      <c r="C59" s="47" t="inlineStr">
        <is>
          <t>Sub-task</t>
        </is>
      </c>
      <c r="D59" s="48" t="inlineStr">
        <is>
          <t>Screen and mic capture via getDisplayMedia and MediaRecorder</t>
        </is>
      </c>
      <c r="E59" s="49" t="n"/>
      <c r="F59" s="47" t="n"/>
      <c r="G59" s="47" t="n"/>
      <c r="H59" s="50" t="inlineStr">
        <is>
          <t>Highest</t>
        </is>
      </c>
      <c r="I59" s="50" t="n"/>
      <c r="J59" s="50" t="n">
        <v>14</v>
      </c>
      <c r="K59" s="47" t="inlineStr">
        <is>
          <t>Frontend</t>
        </is>
      </c>
      <c r="L59" s="47" t="inlineStr">
        <is>
          <t>M1 Prove the wedge</t>
        </is>
      </c>
      <c r="M59" s="47" t="inlineStr">
        <is>
          <t>frontend</t>
        </is>
      </c>
      <c r="N59" s="43" t="inlineStr">
        <is>
          <t>Done</t>
        </is>
      </c>
      <c r="O59" s="36" t="inlineStr">
        <is>
          <t>record-modal</t>
        </is>
      </c>
      <c r="P59" s="36" t="inlineStr">
        <is>
          <t>2026-09-22</t>
        </is>
      </c>
    </row>
    <row r="60" ht="15" customHeight="1" s="37">
      <c r="A60" s="47" t="inlineStr">
        <is>
          <t>C1-T2</t>
        </is>
      </c>
      <c r="B60" s="47" t="inlineStr">
        <is>
          <t>C1</t>
        </is>
      </c>
      <c r="C60" s="47" t="inlineStr">
        <is>
          <t>Sub-task</t>
        </is>
      </c>
      <c r="D60" s="48" t="inlineStr">
        <is>
          <t>Permission primer before the browser prompt (S11)</t>
        </is>
      </c>
      <c r="E60" s="49" t="n"/>
      <c r="F60" s="47" t="n"/>
      <c r="G60" s="47" t="n"/>
      <c r="H60" s="50" t="inlineStr">
        <is>
          <t>Highest</t>
        </is>
      </c>
      <c r="I60" s="50" t="n"/>
      <c r="J60" s="50" t="n">
        <v>5</v>
      </c>
      <c r="K60" s="47" t="inlineStr">
        <is>
          <t>Design</t>
        </is>
      </c>
      <c r="L60" s="47" t="inlineStr">
        <is>
          <t>M1 Prove the wedge</t>
        </is>
      </c>
      <c r="M60" s="47" t="inlineStr">
        <is>
          <t>design</t>
        </is>
      </c>
      <c r="N60" s="43" t="inlineStr">
        <is>
          <t>Done</t>
        </is>
      </c>
      <c r="O60" s="36" t="inlineStr">
        <is>
          <t>S11 primer</t>
        </is>
      </c>
      <c r="P60" s="36" t="inlineStr">
        <is>
          <t>2026-09-22</t>
        </is>
      </c>
    </row>
    <row r="61" ht="15" customHeight="1" s="37">
      <c r="A61" s="47" t="inlineStr">
        <is>
          <t>C1-T3</t>
        </is>
      </c>
      <c r="B61" s="47" t="inlineStr">
        <is>
          <t>C1</t>
        </is>
      </c>
      <c r="C61" s="47" t="inlineStr">
        <is>
          <t>Sub-task</t>
        </is>
      </c>
      <c r="D61" s="48" t="inlineStr">
        <is>
          <t>Presigned S3 multipart upload direct to Spaces via Flysystem</t>
        </is>
      </c>
      <c r="E61" s="49" t="n"/>
      <c r="F61" s="47" t="n"/>
      <c r="G61" s="47" t="n"/>
      <c r="H61" s="50" t="inlineStr">
        <is>
          <t>Highest</t>
        </is>
      </c>
      <c r="I61" s="50" t="n"/>
      <c r="J61" s="50" t="n">
        <v>10</v>
      </c>
      <c r="K61" s="47" t="inlineStr">
        <is>
          <t>Backend</t>
        </is>
      </c>
      <c r="L61" s="47" t="inlineStr">
        <is>
          <t>M1 Prove the wedge</t>
        </is>
      </c>
      <c r="M61" s="47" t="inlineStr">
        <is>
          <t>backend</t>
        </is>
      </c>
      <c r="N61" s="43" t="inlineStr">
        <is>
          <t>Done</t>
        </is>
      </c>
      <c r="O61" s="36" t="inlineStr">
        <is>
          <t>SpacesStorage presigned multipart</t>
        </is>
      </c>
      <c r="P61" s="36" t="inlineStr">
        <is>
          <t>2026-09-22</t>
        </is>
      </c>
    </row>
    <row r="62" ht="15" customHeight="1" s="37">
      <c r="A62" s="47" t="inlineStr">
        <is>
          <t>C1-T4</t>
        </is>
      </c>
      <c r="B62" s="47" t="inlineStr">
        <is>
          <t>C1</t>
        </is>
      </c>
      <c r="C62" s="47" t="inlineStr">
        <is>
          <t>Sub-task</t>
        </is>
      </c>
      <c r="D62" s="48" t="inlineStr">
        <is>
          <t>recordings schema and upload registration endpoint</t>
        </is>
      </c>
      <c r="E62" s="49" t="n"/>
      <c r="F62" s="47" t="n"/>
      <c r="G62" s="47" t="n"/>
      <c r="H62" s="50" t="inlineStr">
        <is>
          <t>Highest</t>
        </is>
      </c>
      <c r="I62" s="50" t="n"/>
      <c r="J62" s="50" t="n">
        <v>6</v>
      </c>
      <c r="K62" s="47" t="inlineStr">
        <is>
          <t>Backend</t>
        </is>
      </c>
      <c r="L62" s="47" t="inlineStr">
        <is>
          <t>M1 Prove the wedge</t>
        </is>
      </c>
      <c r="M62" s="47" t="inlineStr">
        <is>
          <t>backend</t>
        </is>
      </c>
      <c r="N62" s="43" t="inlineStr">
        <is>
          <t>Done</t>
        </is>
      </c>
      <c r="P62" s="36" t="inlineStr">
        <is>
          <t>2026-09-22</t>
        </is>
      </c>
    </row>
    <row r="63" ht="15" customHeight="1" s="37">
      <c r="A63" s="47" t="inlineStr">
        <is>
          <t>C1-T5</t>
        </is>
      </c>
      <c r="B63" s="47" t="inlineStr">
        <is>
          <t>C1</t>
        </is>
      </c>
      <c r="C63" s="47" t="inlineStr">
        <is>
          <t>Sub-task</t>
        </is>
      </c>
      <c r="D63" s="48" t="inlineStr">
        <is>
          <t>Cross-browser capture verification (Chrome, Edge, Firefox, Safari)</t>
        </is>
      </c>
      <c r="E63" s="49" t="n"/>
      <c r="F63" s="47" t="n"/>
      <c r="G63" s="47" t="n"/>
      <c r="H63" s="50" t="inlineStr">
        <is>
          <t>Highest</t>
        </is>
      </c>
      <c r="I63" s="50" t="n"/>
      <c r="J63" s="50" t="n">
        <v>8</v>
      </c>
      <c r="K63" s="47" t="inlineStr">
        <is>
          <t>QA</t>
        </is>
      </c>
      <c r="L63" s="47" t="inlineStr">
        <is>
          <t>M1 Prove the wedge</t>
        </is>
      </c>
      <c r="M63" s="47" t="inlineStr">
        <is>
          <t>qa</t>
        </is>
      </c>
      <c r="N63" s="43" t="inlineStr">
        <is>
          <t>Done</t>
        </is>
      </c>
      <c r="O63" s="36" t="inlineStr">
        <is>
          <t>Safari MP4 labelling fixed; per-browser format + matrix spec; Chromium capture PASS (automated, web/e2e/capture-probe); Edge/Firefox/Safari confirmed complete by project lead 2026-09-23 (results not recorded in the probe README)</t>
        </is>
      </c>
      <c r="P63" s="36" t="inlineStr">
        <is>
          <t>2026-09-23</t>
        </is>
      </c>
    </row>
    <row r="64" ht="15" customHeight="1" s="37">
      <c r="A64" s="44" t="inlineStr">
        <is>
          <t>C2</t>
        </is>
      </c>
      <c r="B64" s="44" t="inlineStr">
        <is>
          <t>EPIC-C</t>
        </is>
      </c>
      <c r="C64" s="44" t="inlineStr">
        <is>
          <t>Story</t>
        </is>
      </c>
      <c r="D64" s="45" t="inlineStr">
        <is>
          <t>As a contributor, I can drag and drop an existing recording file.</t>
        </is>
      </c>
      <c r="E64" s="45" t="inlineStr">
        <is>
          <t>Accepts webm, mp4, mov up to 60 minutes and 2 GB.</t>
        </is>
      </c>
      <c r="F64" s="44" t="n"/>
      <c r="G64" s="44" t="inlineStr">
        <is>
          <t>EPIC-C</t>
        </is>
      </c>
      <c r="H64" s="46" t="inlineStr">
        <is>
          <t>Highest</t>
        </is>
      </c>
      <c r="I64" s="46" t="n">
        <v>3</v>
      </c>
      <c r="J64" s="46">
        <f>SUM(J65:J66)</f>
        <v/>
      </c>
      <c r="K64" s="44" t="n"/>
      <c r="L64" s="44" t="inlineStr">
        <is>
          <t>M1 Prove the wedge</t>
        </is>
      </c>
      <c r="M64" s="44" t="inlineStr">
        <is>
          <t>p0,m1</t>
        </is>
      </c>
      <c r="N64" s="43" t="inlineStr">
        <is>
          <t>Done</t>
        </is>
      </c>
      <c r="O64" s="36" t="inlineStr">
        <is>
          <t>2/2 sub-tasks done</t>
        </is>
      </c>
      <c r="P64" s="36" t="inlineStr">
        <is>
          <t>2026-09-22</t>
        </is>
      </c>
    </row>
    <row r="65" ht="15" customHeight="1" s="37">
      <c r="A65" s="47" t="inlineStr">
        <is>
          <t>C2-T1</t>
        </is>
      </c>
      <c r="B65" s="47" t="inlineStr">
        <is>
          <t>C2</t>
        </is>
      </c>
      <c r="C65" s="47" t="inlineStr">
        <is>
          <t>Sub-task</t>
        </is>
      </c>
      <c r="D65" s="48" t="inlineStr">
        <is>
          <t>Drop zone with format and size validation</t>
        </is>
      </c>
      <c r="E65" s="49" t="n"/>
      <c r="F65" s="47" t="n"/>
      <c r="G65" s="47" t="n"/>
      <c r="H65" s="50" t="inlineStr">
        <is>
          <t>Highest</t>
        </is>
      </c>
      <c r="I65" s="50" t="n"/>
      <c r="J65" s="50" t="n">
        <v>6</v>
      </c>
      <c r="K65" s="47" t="inlineStr">
        <is>
          <t>Frontend</t>
        </is>
      </c>
      <c r="L65" s="47" t="inlineStr">
        <is>
          <t>M1 Prove the wedge</t>
        </is>
      </c>
      <c r="M65" s="47" t="inlineStr">
        <is>
          <t>frontend</t>
        </is>
      </c>
      <c r="N65" s="43" t="inlineStr">
        <is>
          <t>Done</t>
        </is>
      </c>
      <c r="P65" s="36" t="inlineStr">
        <is>
          <t>2026-09-22</t>
        </is>
      </c>
    </row>
    <row r="66" ht="15" customHeight="1" s="37">
      <c r="A66" s="47" t="inlineStr">
        <is>
          <t>C2-T2</t>
        </is>
      </c>
      <c r="B66" s="47" t="inlineStr">
        <is>
          <t>C2</t>
        </is>
      </c>
      <c r="C66" s="47" t="inlineStr">
        <is>
          <t>Sub-task</t>
        </is>
      </c>
      <c r="D66" s="48" t="inlineStr">
        <is>
          <t>Server-side format and limit validation</t>
        </is>
      </c>
      <c r="E66" s="49" t="n"/>
      <c r="F66" s="47" t="n"/>
      <c r="G66" s="47" t="n"/>
      <c r="H66" s="50" t="inlineStr">
        <is>
          <t>Highest</t>
        </is>
      </c>
      <c r="I66" s="50" t="n"/>
      <c r="J66" s="50" t="n">
        <v>3</v>
      </c>
      <c r="K66" s="47" t="inlineStr">
        <is>
          <t>Backend</t>
        </is>
      </c>
      <c r="L66" s="47" t="inlineStr">
        <is>
          <t>M1 Prove the wedge</t>
        </is>
      </c>
      <c r="M66" s="47" t="inlineStr">
        <is>
          <t>backend</t>
        </is>
      </c>
      <c r="N66" s="43" t="inlineStr">
        <is>
          <t>Done</t>
        </is>
      </c>
      <c r="P66" s="36" t="inlineStr">
        <is>
          <t>2026-09-22</t>
        </is>
      </c>
    </row>
    <row r="67" ht="15" customHeight="1" s="37">
      <c r="A67" s="44" t="inlineStr">
        <is>
          <t>C3</t>
        </is>
      </c>
      <c r="B67" s="44" t="inlineStr">
        <is>
          <t>EPIC-C</t>
        </is>
      </c>
      <c r="C67" s="44" t="inlineStr">
        <is>
          <t>Story</t>
        </is>
      </c>
      <c r="D67" s="45" t="inlineStr">
        <is>
          <t>As a contributor, my upload resumes after a network interruption.</t>
        </is>
      </c>
      <c r="E67" s="45" t="inlineStr">
        <is>
          <t>A 45-minute upload must survive one dropped connection.</t>
        </is>
      </c>
      <c r="F67" s="44" t="n"/>
      <c r="G67" s="44" t="inlineStr">
        <is>
          <t>EPIC-C</t>
        </is>
      </c>
      <c r="H67" s="46" t="inlineStr">
        <is>
          <t>Highest</t>
        </is>
      </c>
      <c r="I67" s="46" t="n">
        <v>8</v>
      </c>
      <c r="J67" s="46">
        <f>SUM(J68:J70)</f>
        <v/>
      </c>
      <c r="K67" s="44" t="n"/>
      <c r="L67" s="44" t="inlineStr">
        <is>
          <t>M1 Prove the wedge</t>
        </is>
      </c>
      <c r="M67" s="44" t="inlineStr">
        <is>
          <t>p0,m1</t>
        </is>
      </c>
      <c r="N67" s="43" t="inlineStr">
        <is>
          <t>Done</t>
        </is>
      </c>
      <c r="O67" s="36" t="inlineStr">
        <is>
          <t>3/3 sub-tasks done</t>
        </is>
      </c>
      <c r="P67" s="36" t="inlineStr">
        <is>
          <t>2026-09-23</t>
        </is>
      </c>
    </row>
    <row r="68" ht="15" customHeight="1" s="37">
      <c r="A68" s="47" t="inlineStr">
        <is>
          <t>C3-T1</t>
        </is>
      </c>
      <c r="B68" s="47" t="inlineStr">
        <is>
          <t>C3</t>
        </is>
      </c>
      <c r="C68" s="47" t="inlineStr">
        <is>
          <t>Sub-task</t>
        </is>
      </c>
      <c r="D68" s="48" t="inlineStr">
        <is>
          <t>Chunked upload with retry and resume</t>
        </is>
      </c>
      <c r="E68" s="49" t="n"/>
      <c r="F68" s="47" t="n"/>
      <c r="G68" s="47" t="n"/>
      <c r="H68" s="50" t="inlineStr">
        <is>
          <t>Highest</t>
        </is>
      </c>
      <c r="I68" s="50" t="n"/>
      <c r="J68" s="50" t="n">
        <v>14</v>
      </c>
      <c r="K68" s="47" t="inlineStr">
        <is>
          <t>Frontend</t>
        </is>
      </c>
      <c r="L68" s="47" t="inlineStr">
        <is>
          <t>M1 Prove the wedge</t>
        </is>
      </c>
      <c r="M68" s="47" t="inlineStr">
        <is>
          <t>frontend</t>
        </is>
      </c>
      <c r="N68" s="43" t="inlineStr">
        <is>
          <t>Done</t>
        </is>
      </c>
      <c r="O68" s="36" t="inlineStr">
        <is>
          <t>resume after reload: GET /recordings/{id}/upload (ListParts + re-signed URLs), IndexedDB session (recording video kept locally; files re-picked and fingerprint-checked), Unfinished uploads panel, offline wait; stale uploads aborted after 7 days</t>
        </is>
      </c>
      <c r="P68" s="36" t="inlineStr">
        <is>
          <t>2026-09-23</t>
        </is>
      </c>
    </row>
    <row r="69" ht="15" customHeight="1" s="37">
      <c r="A69" s="47" t="inlineStr">
        <is>
          <t>C3-T2</t>
        </is>
      </c>
      <c r="B69" s="47" t="inlineStr">
        <is>
          <t>C3</t>
        </is>
      </c>
      <c r="C69" s="47" t="inlineStr">
        <is>
          <t>Sub-task</t>
        </is>
      </c>
      <c r="D69" s="48" t="inlineStr">
        <is>
          <t>Multipart completion and integrity check</t>
        </is>
      </c>
      <c r="E69" s="49" t="n"/>
      <c r="F69" s="47" t="n"/>
      <c r="G69" s="47" t="n"/>
      <c r="H69" s="50" t="inlineStr">
        <is>
          <t>Highest</t>
        </is>
      </c>
      <c r="I69" s="50" t="n"/>
      <c r="J69" s="50" t="n">
        <v>8</v>
      </c>
      <c r="K69" s="47" t="inlineStr">
        <is>
          <t>Backend</t>
        </is>
      </c>
      <c r="L69" s="47" t="inlineStr">
        <is>
          <t>M1 Prove the wedge</t>
        </is>
      </c>
      <c r="M69" s="47" t="inlineStr">
        <is>
          <t>backend</t>
        </is>
      </c>
      <c r="N69" s="43" t="inlineStr">
        <is>
          <t>Done</t>
        </is>
      </c>
      <c r="P69" s="36" t="inlineStr">
        <is>
          <t>2026-09-22</t>
        </is>
      </c>
    </row>
    <row r="70" ht="15" customHeight="1" s="37">
      <c r="A70" s="47" t="inlineStr">
        <is>
          <t>C3-T3</t>
        </is>
      </c>
      <c r="B70" s="47" t="inlineStr">
        <is>
          <t>C3</t>
        </is>
      </c>
      <c r="C70" s="47" t="inlineStr">
        <is>
          <t>Sub-task</t>
        </is>
      </c>
      <c r="D70" s="48" t="inlineStr">
        <is>
          <t>Interrupted-network upload test</t>
        </is>
      </c>
      <c r="E70" s="49" t="n"/>
      <c r="F70" s="47" t="n"/>
      <c r="G70" s="47" t="n"/>
      <c r="H70" s="50" t="inlineStr">
        <is>
          <t>Highest</t>
        </is>
      </c>
      <c r="I70" s="50" t="n"/>
      <c r="J70" s="50" t="n">
        <v>6</v>
      </c>
      <c r="K70" s="47" t="inlineStr">
        <is>
          <t>QA</t>
        </is>
      </c>
      <c r="L70" s="47" t="inlineStr">
        <is>
          <t>M1 Prove the wedge</t>
        </is>
      </c>
      <c r="M70" s="47" t="inlineStr">
        <is>
          <t>qa</t>
        </is>
      </c>
      <c r="N70" s="43" t="inlineStr">
        <is>
          <t>Done</t>
        </is>
      </c>
      <c r="O70" s="36" t="inlineStr">
        <is>
          <t>resumable-upload.spec (network drop → reload → only missing parts sent; server-authoritative parts; file mismatch; offline wait) + ResumableUploadTest (API)</t>
        </is>
      </c>
      <c r="P70" s="36" t="inlineStr">
        <is>
          <t>2026-09-23</t>
        </is>
      </c>
    </row>
    <row r="71" ht="23.85" customHeight="1" s="37">
      <c r="A71" s="44" t="inlineStr">
        <is>
          <t>C4</t>
        </is>
      </c>
      <c r="B71" s="44" t="inlineStr">
        <is>
          <t>EPIC-C</t>
        </is>
      </c>
      <c r="C71" s="44" t="inlineStr">
        <is>
          <t>Story</t>
        </is>
      </c>
      <c r="D71" s="45" t="inlineStr">
        <is>
          <t>As a contributor, I can see the processing status of my recording at every stage.</t>
        </is>
      </c>
      <c r="E71" s="45" t="inlineStr">
        <is>
          <t>Determinate progress, and failures that say what to do next.</t>
        </is>
      </c>
      <c r="F71" s="44" t="n"/>
      <c r="G71" s="44" t="inlineStr">
        <is>
          <t>EPIC-C</t>
        </is>
      </c>
      <c r="H71" s="46" t="inlineStr">
        <is>
          <t>Highest</t>
        </is>
      </c>
      <c r="I71" s="46" t="n">
        <v>5</v>
      </c>
      <c r="J71" s="46">
        <f>SUM(J72:J74)</f>
        <v/>
      </c>
      <c r="K71" s="44" t="n"/>
      <c r="L71" s="44" t="inlineStr">
        <is>
          <t>M1 Prove the wedge</t>
        </is>
      </c>
      <c r="M71" s="44" t="inlineStr">
        <is>
          <t>p0,m1</t>
        </is>
      </c>
      <c r="N71" s="43" t="inlineStr">
        <is>
          <t>Done</t>
        </is>
      </c>
      <c r="O71" s="36" t="inlineStr">
        <is>
          <t>3/3 sub-tasks done</t>
        </is>
      </c>
      <c r="P71" s="36" t="inlineStr">
        <is>
          <t>2026-09-22</t>
        </is>
      </c>
    </row>
    <row r="72" ht="15" customHeight="1" s="37">
      <c r="A72" s="47" t="inlineStr">
        <is>
          <t>C4-T1</t>
        </is>
      </c>
      <c r="B72" s="47" t="inlineStr">
        <is>
          <t>C4</t>
        </is>
      </c>
      <c r="C72" s="47" t="inlineStr">
        <is>
          <t>Sub-task</t>
        </is>
      </c>
      <c r="D72" s="48" t="inlineStr">
        <is>
          <t>pipeline_jobs table and status transitions</t>
        </is>
      </c>
      <c r="E72" s="49" t="n"/>
      <c r="F72" s="47" t="n"/>
      <c r="G72" s="47" t="n"/>
      <c r="H72" s="50" t="inlineStr">
        <is>
          <t>Highest</t>
        </is>
      </c>
      <c r="I72" s="50" t="n"/>
      <c r="J72" s="50" t="n">
        <v>6</v>
      </c>
      <c r="K72" s="47" t="inlineStr">
        <is>
          <t>Backend</t>
        </is>
      </c>
      <c r="L72" s="47" t="inlineStr">
        <is>
          <t>M1 Prove the wedge</t>
        </is>
      </c>
      <c r="M72" s="47" t="inlineStr">
        <is>
          <t>backend</t>
        </is>
      </c>
      <c r="N72" s="43" t="inlineStr">
        <is>
          <t>Done</t>
        </is>
      </c>
      <c r="P72" s="36" t="inlineStr">
        <is>
          <t>2026-09-22</t>
        </is>
      </c>
    </row>
    <row r="73" ht="15" customHeight="1" s="37">
      <c r="A73" s="47" t="inlineStr">
        <is>
          <t>C4-T2</t>
        </is>
      </c>
      <c r="B73" s="47" t="inlineStr">
        <is>
          <t>C4</t>
        </is>
      </c>
      <c r="C73" s="47" t="inlineStr">
        <is>
          <t>Sub-task</t>
        </is>
      </c>
      <c r="D73" s="48" t="inlineStr">
        <is>
          <t>Status polling and recordings list (S10); Reverb deferred to M3</t>
        </is>
      </c>
      <c r="E73" s="49" t="n"/>
      <c r="F73" s="47" t="n"/>
      <c r="G73" s="47" t="n"/>
      <c r="H73" s="50" t="inlineStr">
        <is>
          <t>Highest</t>
        </is>
      </c>
      <c r="I73" s="50" t="n"/>
      <c r="J73" s="50" t="n">
        <v>10</v>
      </c>
      <c r="K73" s="47" t="inlineStr">
        <is>
          <t>Frontend</t>
        </is>
      </c>
      <c r="L73" s="47" t="inlineStr">
        <is>
          <t>M1 Prove the wedge</t>
        </is>
      </c>
      <c r="M73" s="47" t="inlineStr">
        <is>
          <t>frontend</t>
        </is>
      </c>
      <c r="N73" s="43" t="inlineStr">
        <is>
          <t>Done</t>
        </is>
      </c>
      <c r="O73" s="36" t="inlineStr">
        <is>
          <t>S10 polling</t>
        </is>
      </c>
      <c r="P73" s="36" t="inlineStr">
        <is>
          <t>2026-09-22</t>
        </is>
      </c>
    </row>
    <row r="74" ht="15" customHeight="1" s="37">
      <c r="A74" s="47" t="inlineStr">
        <is>
          <t>C4-T3</t>
        </is>
      </c>
      <c r="B74" s="47" t="inlineStr">
        <is>
          <t>C4</t>
        </is>
      </c>
      <c r="C74" s="47" t="inlineStr">
        <is>
          <t>Sub-task</t>
        </is>
      </c>
      <c r="D74" s="48" t="inlineStr">
        <is>
          <t>Plain-language failure reasons with retry</t>
        </is>
      </c>
      <c r="E74" s="49" t="n"/>
      <c r="F74" s="47" t="n"/>
      <c r="G74" s="47" t="n"/>
      <c r="H74" s="50" t="inlineStr">
        <is>
          <t>Highest</t>
        </is>
      </c>
      <c r="I74" s="50" t="n"/>
      <c r="J74" s="50" t="n">
        <v>4</v>
      </c>
      <c r="K74" s="47" t="inlineStr">
        <is>
          <t>Full stack</t>
        </is>
      </c>
      <c r="L74" s="47" t="inlineStr">
        <is>
          <t>M1 Prove the wedge</t>
        </is>
      </c>
      <c r="M74" s="47" t="inlineStr">
        <is>
          <t>full-stack</t>
        </is>
      </c>
      <c r="N74" s="43" t="inlineStr">
        <is>
          <t>Done</t>
        </is>
      </c>
      <c r="O74" s="36" t="inlineStr">
        <is>
          <t>PipelineFailed reasons</t>
        </is>
      </c>
      <c r="P74" s="36" t="inlineStr">
        <is>
          <t>2026-09-22</t>
        </is>
      </c>
    </row>
    <row r="75" ht="15" customHeight="1" s="37">
      <c r="A75" s="40" t="inlineStr">
        <is>
          <t>EPIC-D</t>
        </is>
      </c>
      <c r="B75" s="40" t="n"/>
      <c r="C75" s="40" t="inlineStr">
        <is>
          <t>Epic</t>
        </is>
      </c>
      <c r="D75" s="41" t="inlineStr">
        <is>
          <t>D — AI SOP generation</t>
        </is>
      </c>
      <c r="E75" s="41" t="inlineStr">
        <is>
          <t>The wedge. Recording in, structured draft procedure out.</t>
        </is>
      </c>
      <c r="F75" s="40" t="inlineStr">
        <is>
          <t>AI SOP generation</t>
        </is>
      </c>
      <c r="G75" s="40" t="n"/>
      <c r="H75" s="42" t="n"/>
      <c r="I75" s="42">
        <f>SUMIFS(I$2:I$273,G$2:G$273,"EPIC-D",C$2:C$273,"Story")</f>
        <v/>
      </c>
      <c r="J75" s="42">
        <f>SUMIFS(J$2:J$273,G$2:G$273,"EPIC-D",C$2:C$273,"Story")</f>
        <v/>
      </c>
      <c r="K75" s="40" t="n"/>
      <c r="L75" s="40" t="n"/>
      <c r="M75" s="40" t="inlineStr">
        <is>
          <t>epic</t>
        </is>
      </c>
      <c r="N75" s="51" t="inlineStr">
        <is>
          <t>In Progress</t>
        </is>
      </c>
      <c r="O75" s="36" t="inlineStr">
        <is>
          <t>17/22 sub-tasks done, 3/6 stories done; the rest need real recordings / provider keys</t>
        </is>
      </c>
      <c r="P75" s="36" t="inlineStr">
        <is>
          <t>2026-09-23</t>
        </is>
      </c>
    </row>
    <row r="76" ht="23.85" customHeight="1" s="37">
      <c r="A76" s="44" t="inlineStr">
        <is>
          <t>D0</t>
        </is>
      </c>
      <c r="B76" s="44" t="inlineStr">
        <is>
          <t>EPIC-D</t>
        </is>
      </c>
      <c r="C76" s="44" t="inlineStr">
        <is>
          <t>Story</t>
        </is>
      </c>
      <c r="D76" s="45" t="inlineStr">
        <is>
          <t>As a team, we've chosen a transcription provider on evidence from real recordings.</t>
        </is>
      </c>
      <c r="E76" s="45" t="inlineStr">
        <is>
          <t>The Claude API has no speech-to-text endpoint, so the stack does not yet include one. Blocks the wedge.</t>
        </is>
      </c>
      <c r="F76" s="44" t="n"/>
      <c r="G76" s="44" t="inlineStr">
        <is>
          <t>EPIC-D</t>
        </is>
      </c>
      <c r="H76" s="46" t="inlineStr">
        <is>
          <t>Highest</t>
        </is>
      </c>
      <c r="I76" s="46" t="n">
        <v>5</v>
      </c>
      <c r="J76" s="46">
        <f>SUM(J77:J79)</f>
        <v/>
      </c>
      <c r="K76" s="44" t="n"/>
      <c r="L76" s="44" t="inlineStr">
        <is>
          <t>M1 Prove the wedge</t>
        </is>
      </c>
      <c r="M76" s="44" t="inlineStr">
        <is>
          <t>p0,m1</t>
        </is>
      </c>
      <c r="N76" s="53" t="inlineStr">
        <is>
          <t>Blocked</t>
        </is>
      </c>
      <c r="O76" s="36" t="inlineStr">
        <is>
          <t>0/3 sub-tasks done</t>
        </is>
      </c>
      <c r="P76" s="36" t="inlineStr">
        <is>
          <t>2026-09-22</t>
        </is>
      </c>
    </row>
    <row r="77" ht="15" customHeight="1" s="37">
      <c r="A77" s="47" t="inlineStr">
        <is>
          <t>D0-T1</t>
        </is>
      </c>
      <c r="B77" s="47" t="inlineStr">
        <is>
          <t>D0</t>
        </is>
      </c>
      <c r="C77" s="47" t="inlineStr">
        <is>
          <t>Sub-task</t>
        </is>
      </c>
      <c r="D77" s="48" t="inlineStr">
        <is>
          <t>Assemble 10-recording evaluation set spanning length, accent and noise</t>
        </is>
      </c>
      <c r="E77" s="49" t="n"/>
      <c r="F77" s="47" t="n"/>
      <c r="G77" s="47" t="n"/>
      <c r="H77" s="50" t="inlineStr">
        <is>
          <t>Highest</t>
        </is>
      </c>
      <c r="I77" s="50" t="n"/>
      <c r="J77" s="50" t="n">
        <v>5</v>
      </c>
      <c r="K77" s="47" t="inlineStr">
        <is>
          <t>QA</t>
        </is>
      </c>
      <c r="L77" s="47" t="inlineStr">
        <is>
          <t>M1 Prove the wedge</t>
        </is>
      </c>
      <c r="M77" s="47" t="inlineStr">
        <is>
          <t>qa</t>
        </is>
      </c>
      <c r="N77" s="53" t="inlineStr">
        <is>
          <t>Blocked</t>
        </is>
      </c>
      <c r="O77" s="36" t="inlineStr">
        <is>
          <t>needs 10 real recordings from the team</t>
        </is>
      </c>
      <c r="P77" s="36" t="inlineStr">
        <is>
          <t>2026-09-22</t>
        </is>
      </c>
    </row>
    <row r="78" ht="15" customHeight="1" s="37">
      <c r="A78" s="47" t="inlineStr">
        <is>
          <t>D0-T2</t>
        </is>
      </c>
      <c r="B78" s="47" t="inlineStr">
        <is>
          <t>D0</t>
        </is>
      </c>
      <c r="C78" s="47" t="inlineStr">
        <is>
          <t>Sub-task</t>
        </is>
      </c>
      <c r="D78" s="48" t="inlineStr">
        <is>
          <t>Benchmark Whisper API and Deepgram on timestamp accuracy and cost</t>
        </is>
      </c>
      <c r="E78" s="49" t="n"/>
      <c r="F78" s="47" t="n"/>
      <c r="G78" s="47" t="n"/>
      <c r="H78" s="50" t="inlineStr">
        <is>
          <t>Highest</t>
        </is>
      </c>
      <c r="I78" s="50" t="n"/>
      <c r="J78" s="50" t="n">
        <v>10</v>
      </c>
      <c r="K78" s="47" t="inlineStr">
        <is>
          <t>AI/Pipeline</t>
        </is>
      </c>
      <c r="L78" s="47" t="inlineStr">
        <is>
          <t>M1 Prove the wedge</t>
        </is>
      </c>
      <c r="M78" s="47" t="inlineStr">
        <is>
          <t>ai-pipeline</t>
        </is>
      </c>
      <c r="N78" s="53" t="inlineStr">
        <is>
          <t>Blocked</t>
        </is>
      </c>
      <c r="O78" s="36" t="inlineStr">
        <is>
          <t>harness ready: pipeline:eval --providers=whisper,deepgram; needs recordings + provider keys</t>
        </is>
      </c>
      <c r="P78" s="36" t="inlineStr">
        <is>
          <t>2026-09-23</t>
        </is>
      </c>
    </row>
    <row r="79" ht="15" customHeight="1" s="37">
      <c r="A79" s="47" t="inlineStr">
        <is>
          <t>D0-T3</t>
        </is>
      </c>
      <c r="B79" s="47" t="inlineStr">
        <is>
          <t>D0</t>
        </is>
      </c>
      <c r="C79" s="47" t="inlineStr">
        <is>
          <t>Sub-task</t>
        </is>
      </c>
      <c r="D79" s="48" t="inlineStr">
        <is>
          <t>Confirm zero-retention terms with the chosen provider</t>
        </is>
      </c>
      <c r="E79" s="49" t="n"/>
      <c r="F79" s="47" t="n"/>
      <c r="G79" s="47" t="n"/>
      <c r="H79" s="50" t="inlineStr">
        <is>
          <t>Highest</t>
        </is>
      </c>
      <c r="I79" s="50" t="n"/>
      <c r="J79" s="50" t="n">
        <v>3</v>
      </c>
      <c r="K79" s="47" t="inlineStr">
        <is>
          <t>Backend</t>
        </is>
      </c>
      <c r="L79" s="47" t="inlineStr">
        <is>
          <t>M1 Prove the wedge</t>
        </is>
      </c>
      <c r="M79" s="47" t="inlineStr">
        <is>
          <t>backend</t>
        </is>
      </c>
      <c r="N79" s="53" t="inlineStr">
        <is>
          <t>Blocked</t>
        </is>
      </c>
      <c r="O79" s="36" t="inlineStr">
        <is>
          <t>after provider choice</t>
        </is>
      </c>
      <c r="P79" s="36" t="inlineStr">
        <is>
          <t>2026-09-22</t>
        </is>
      </c>
    </row>
    <row r="80" ht="23.85" customHeight="1" s="37">
      <c r="A80" s="44" t="inlineStr">
        <is>
          <t>D1</t>
        </is>
      </c>
      <c r="B80" s="44" t="inlineStr">
        <is>
          <t>EPIC-D</t>
        </is>
      </c>
      <c r="C80" s="44" t="inlineStr">
        <is>
          <t>Story</t>
        </is>
      </c>
      <c r="D80" s="45" t="inlineStr">
        <is>
          <t>As a system, I transcribe an uploaded recording with word-level timestamps.</t>
        </is>
      </c>
      <c r="E80" s="45" t="inlineStr">
        <is>
          <t>Halts with a clear message on very low confidence rather than inventing content.</t>
        </is>
      </c>
      <c r="F80" s="44" t="n"/>
      <c r="G80" s="44" t="inlineStr">
        <is>
          <t>EPIC-D</t>
        </is>
      </c>
      <c r="H80" s="46" t="inlineStr">
        <is>
          <t>Highest</t>
        </is>
      </c>
      <c r="I80" s="46" t="n">
        <v>8</v>
      </c>
      <c r="J80" s="46">
        <f>SUM(J81:J84)</f>
        <v/>
      </c>
      <c r="K80" s="44" t="n"/>
      <c r="L80" s="44" t="inlineStr">
        <is>
          <t>M1 Prove the wedge</t>
        </is>
      </c>
      <c r="M80" s="44" t="inlineStr">
        <is>
          <t>p0,m1</t>
        </is>
      </c>
      <c r="N80" s="43" t="inlineStr">
        <is>
          <t>Done</t>
        </is>
      </c>
      <c r="O80" s="36" t="inlineStr">
        <is>
          <t>4/4 sub-tasks done</t>
        </is>
      </c>
      <c r="P80" s="36" t="inlineStr">
        <is>
          <t>2026-09-22</t>
        </is>
      </c>
    </row>
    <row r="81" ht="15" customHeight="1" s="37">
      <c r="A81" s="47" t="inlineStr">
        <is>
          <t>D1-T1</t>
        </is>
      </c>
      <c r="B81" s="47" t="inlineStr">
        <is>
          <t>D1</t>
        </is>
      </c>
      <c r="C81" s="47" t="inlineStr">
        <is>
          <t>Sub-task</t>
        </is>
      </c>
      <c r="D81" s="48" t="inlineStr">
        <is>
          <t>Speech-to-text adapter interface and provider implementation</t>
        </is>
      </c>
      <c r="E81" s="49" t="n"/>
      <c r="F81" s="47" t="n"/>
      <c r="G81" s="47" t="n"/>
      <c r="H81" s="50" t="inlineStr">
        <is>
          <t>Highest</t>
        </is>
      </c>
      <c r="I81" s="50" t="n"/>
      <c r="J81" s="50" t="n">
        <v>10</v>
      </c>
      <c r="K81" s="47" t="inlineStr">
        <is>
          <t>AI/Pipeline</t>
        </is>
      </c>
      <c r="L81" s="47" t="inlineStr">
        <is>
          <t>M1 Prove the wedge</t>
        </is>
      </c>
      <c r="M81" s="47" t="inlineStr">
        <is>
          <t>ai-pipeline</t>
        </is>
      </c>
      <c r="N81" s="43" t="inlineStr">
        <is>
          <t>Done</t>
        </is>
      </c>
      <c r="O81" s="36" t="inlineStr">
        <is>
          <t>Transcriber driver: whisper, deepgram, fake, null</t>
        </is>
      </c>
      <c r="P81" s="36" t="inlineStr">
        <is>
          <t>2026-09-22</t>
        </is>
      </c>
    </row>
    <row r="82" ht="15" customHeight="1" s="37">
      <c r="A82" s="47" t="inlineStr">
        <is>
          <t>D1-T2</t>
        </is>
      </c>
      <c r="B82" s="47" t="inlineStr">
        <is>
          <t>D1</t>
        </is>
      </c>
      <c r="C82" s="47" t="inlineStr">
        <is>
          <t>Sub-task</t>
        </is>
      </c>
      <c r="D82" s="48" t="inlineStr">
        <is>
          <t>transcripts schema with word-level timestamps</t>
        </is>
      </c>
      <c r="E82" s="49" t="n"/>
      <c r="F82" s="47" t="n"/>
      <c r="G82" s="47" t="n"/>
      <c r="H82" s="50" t="inlineStr">
        <is>
          <t>Highest</t>
        </is>
      </c>
      <c r="I82" s="50" t="n"/>
      <c r="J82" s="50" t="n">
        <v>5</v>
      </c>
      <c r="K82" s="47" t="inlineStr">
        <is>
          <t>Database</t>
        </is>
      </c>
      <c r="L82" s="47" t="inlineStr">
        <is>
          <t>M1 Prove the wedge</t>
        </is>
      </c>
      <c r="M82" s="47" t="inlineStr">
        <is>
          <t>database</t>
        </is>
      </c>
      <c r="N82" s="43" t="inlineStr">
        <is>
          <t>Done</t>
        </is>
      </c>
      <c r="P82" s="36" t="inlineStr">
        <is>
          <t>2026-09-22</t>
        </is>
      </c>
    </row>
    <row r="83" ht="15" customHeight="1" s="37">
      <c r="A83" s="47" t="inlineStr">
        <is>
          <t>D1-T3</t>
        </is>
      </c>
      <c r="B83" s="47" t="inlineStr">
        <is>
          <t>D1</t>
        </is>
      </c>
      <c r="C83" s="47" t="inlineStr">
        <is>
          <t>Sub-task</t>
        </is>
      </c>
      <c r="D83" s="48" t="inlineStr">
        <is>
          <t>Retry policy and low-confidence halt</t>
        </is>
      </c>
      <c r="E83" s="49" t="n"/>
      <c r="F83" s="47" t="n"/>
      <c r="G83" s="47" t="n"/>
      <c r="H83" s="50" t="inlineStr">
        <is>
          <t>Highest</t>
        </is>
      </c>
      <c r="I83" s="50" t="n"/>
      <c r="J83" s="50" t="n">
        <v>6</v>
      </c>
      <c r="K83" s="47" t="inlineStr">
        <is>
          <t>AI/Pipeline</t>
        </is>
      </c>
      <c r="L83" s="47" t="inlineStr">
        <is>
          <t>M1 Prove the wedge</t>
        </is>
      </c>
      <c r="M83" s="47" t="inlineStr">
        <is>
          <t>ai-pipeline</t>
        </is>
      </c>
      <c r="N83" s="43" t="inlineStr">
        <is>
          <t>Done</t>
        </is>
      </c>
      <c r="P83" s="36" t="inlineStr">
        <is>
          <t>2026-09-22</t>
        </is>
      </c>
    </row>
    <row r="84" ht="15" customHeight="1" s="37">
      <c r="A84" s="47" t="inlineStr">
        <is>
          <t>D1-T4</t>
        </is>
      </c>
      <c r="B84" s="47" t="inlineStr">
        <is>
          <t>D1</t>
        </is>
      </c>
      <c r="C84" s="47" t="inlineStr">
        <is>
          <t>Sub-task</t>
        </is>
      </c>
      <c r="D84" s="48" t="inlineStr">
        <is>
          <t>Job idempotency via job_key</t>
        </is>
      </c>
      <c r="E84" s="49" t="n"/>
      <c r="F84" s="47" t="n"/>
      <c r="G84" s="47" t="n"/>
      <c r="H84" s="50" t="inlineStr">
        <is>
          <t>Highest</t>
        </is>
      </c>
      <c r="I84" s="50" t="n"/>
      <c r="J84" s="50" t="n">
        <v>5</v>
      </c>
      <c r="K84" s="47" t="inlineStr">
        <is>
          <t>Backend</t>
        </is>
      </c>
      <c r="L84" s="47" t="inlineStr">
        <is>
          <t>M1 Prove the wedge</t>
        </is>
      </c>
      <c r="M84" s="47" t="inlineStr">
        <is>
          <t>backend</t>
        </is>
      </c>
      <c r="N84" s="43" t="inlineStr">
        <is>
          <t>Done</t>
        </is>
      </c>
      <c r="O84" s="36" t="inlineStr">
        <is>
          <t>job_key + ShouldBeUnique</t>
        </is>
      </c>
      <c r="P84" s="36" t="inlineStr">
        <is>
          <t>2026-09-22</t>
        </is>
      </c>
    </row>
    <row r="85" ht="15" customHeight="1" s="37">
      <c r="A85" s="44" t="inlineStr">
        <is>
          <t>D2</t>
        </is>
      </c>
      <c r="B85" s="44" t="inlineStr">
        <is>
          <t>EPIC-D</t>
        </is>
      </c>
      <c r="C85" s="44" t="inlineStr">
        <is>
          <t>Story</t>
        </is>
      </c>
      <c r="D85" s="45" t="inlineStr">
        <is>
          <t>As a system, I segment the transcript into distinct actions.</t>
        </is>
      </c>
      <c r="E85" s="45" t="inlineStr">
        <is>
          <t>Falls back to paragraph segmentation if action detection fails.</t>
        </is>
      </c>
      <c r="F85" s="44" t="n"/>
      <c r="G85" s="44" t="inlineStr">
        <is>
          <t>EPIC-D</t>
        </is>
      </c>
      <c r="H85" s="46" t="inlineStr">
        <is>
          <t>Highest</t>
        </is>
      </c>
      <c r="I85" s="46" t="n">
        <v>13</v>
      </c>
      <c r="J85" s="46">
        <f>SUM(J86:J89)</f>
        <v/>
      </c>
      <c r="K85" s="44" t="n"/>
      <c r="L85" s="44" t="inlineStr">
        <is>
          <t>M1 Prove the wedge</t>
        </is>
      </c>
      <c r="M85" s="44" t="inlineStr">
        <is>
          <t>p0,m1</t>
        </is>
      </c>
      <c r="N85" s="51" t="inlineStr">
        <is>
          <t>In Progress</t>
        </is>
      </c>
      <c r="O85" s="36" t="inlineStr">
        <is>
          <t>3/4 sub-tasks done</t>
        </is>
      </c>
      <c r="P85" s="36" t="inlineStr">
        <is>
          <t>2026-09-23</t>
        </is>
      </c>
    </row>
    <row r="86" ht="15" customHeight="1" s="37">
      <c r="A86" s="47" t="inlineStr">
        <is>
          <t>D2-T1</t>
        </is>
      </c>
      <c r="B86" s="47" t="inlineStr">
        <is>
          <t>D2</t>
        </is>
      </c>
      <c r="C86" s="47" t="inlineStr">
        <is>
          <t>Sub-task</t>
        </is>
      </c>
      <c r="D86" s="48" t="inlineStr">
        <is>
          <t>Transcript cue and pause-based segmentation</t>
        </is>
      </c>
      <c r="E86" s="49" t="n"/>
      <c r="F86" s="47" t="n"/>
      <c r="G86" s="47" t="n"/>
      <c r="H86" s="50" t="inlineStr">
        <is>
          <t>Highest</t>
        </is>
      </c>
      <c r="I86" s="50" t="n"/>
      <c r="J86" s="50" t="n">
        <v>16</v>
      </c>
      <c r="K86" s="47" t="inlineStr">
        <is>
          <t>AI/Pipeline</t>
        </is>
      </c>
      <c r="L86" s="47" t="inlineStr">
        <is>
          <t>M1 Prove the wedge</t>
        </is>
      </c>
      <c r="M86" s="47" t="inlineStr">
        <is>
          <t>ai-pipeline</t>
        </is>
      </c>
      <c r="N86" s="43" t="inlineStr">
        <is>
          <t>Done</t>
        </is>
      </c>
      <c r="O86" s="36" t="inlineStr">
        <is>
          <t>LLM segmentation ([segment] prompt)</t>
        </is>
      </c>
      <c r="P86" s="36" t="inlineStr">
        <is>
          <t>2026-09-22</t>
        </is>
      </c>
    </row>
    <row r="87" ht="15" customHeight="1" s="37">
      <c r="A87" s="47" t="inlineStr">
        <is>
          <t>D2-T2</t>
        </is>
      </c>
      <c r="B87" s="47" t="inlineStr">
        <is>
          <t>D2</t>
        </is>
      </c>
      <c r="C87" s="47" t="inlineStr">
        <is>
          <t>Sub-task</t>
        </is>
      </c>
      <c r="D87" s="48" t="inlineStr">
        <is>
          <t>Visual scene-change detection</t>
        </is>
      </c>
      <c r="E87" s="49" t="n"/>
      <c r="F87" s="47" t="n"/>
      <c r="G87" s="47" t="n"/>
      <c r="H87" s="50" t="inlineStr">
        <is>
          <t>Highest</t>
        </is>
      </c>
      <c r="I87" s="50" t="n"/>
      <c r="J87" s="50" t="n">
        <v>14</v>
      </c>
      <c r="K87" s="47" t="inlineStr">
        <is>
          <t>AI/Pipeline</t>
        </is>
      </c>
      <c r="L87" s="47" t="inlineStr">
        <is>
          <t>M1 Prove the wedge</t>
        </is>
      </c>
      <c r="M87" s="47" t="inlineStr">
        <is>
          <t>ai-pipeline</t>
        </is>
      </c>
      <c r="N87" s="43" t="inlineStr">
        <is>
          <t>Done</t>
        </is>
      </c>
      <c r="O87" s="36" t="inlineStr">
        <is>
          <t>FFmpeg scene detection (Vision::sceneChanges); model sees screen changes; boundaries within 2 s snap to them; fallback splits at them</t>
        </is>
      </c>
      <c r="P87" s="36" t="inlineStr">
        <is>
          <t>2026-09-23</t>
        </is>
      </c>
    </row>
    <row r="88" ht="15" customHeight="1" s="37">
      <c r="A88" s="47" t="inlineStr">
        <is>
          <t>D2-T3</t>
        </is>
      </c>
      <c r="B88" s="47" t="inlineStr">
        <is>
          <t>D2</t>
        </is>
      </c>
      <c r="C88" s="47" t="inlineStr">
        <is>
          <t>Sub-task</t>
        </is>
      </c>
      <c r="D88" s="48" t="inlineStr">
        <is>
          <t>Segment merge logic and paragraph fallback</t>
        </is>
      </c>
      <c r="E88" s="49" t="n"/>
      <c r="F88" s="47" t="n"/>
      <c r="G88" s="47" t="n"/>
      <c r="H88" s="50" t="inlineStr">
        <is>
          <t>Highest</t>
        </is>
      </c>
      <c r="I88" s="50" t="n"/>
      <c r="J88" s="50" t="n">
        <v>8</v>
      </c>
      <c r="K88" s="47" t="inlineStr">
        <is>
          <t>AI/Pipeline</t>
        </is>
      </c>
      <c r="L88" s="47" t="inlineStr">
        <is>
          <t>M1 Prove the wedge</t>
        </is>
      </c>
      <c r="M88" s="47" t="inlineStr">
        <is>
          <t>ai-pipeline</t>
        </is>
      </c>
      <c r="N88" s="43" t="inlineStr">
        <is>
          <t>Done</t>
        </is>
      </c>
      <c r="O88" s="36" t="inlineStr">
        <is>
          <t>halt with reason when no process</t>
        </is>
      </c>
      <c r="P88" s="36" t="inlineStr">
        <is>
          <t>2026-09-22</t>
        </is>
      </c>
    </row>
    <row r="89" ht="15" customHeight="1" s="37">
      <c r="A89" s="47" t="inlineStr">
        <is>
          <t>D2-T4</t>
        </is>
      </c>
      <c r="B89" s="47" t="inlineStr">
        <is>
          <t>D2</t>
        </is>
      </c>
      <c r="C89" s="47" t="inlineStr">
        <is>
          <t>Sub-task</t>
        </is>
      </c>
      <c r="D89" s="48" t="inlineStr">
        <is>
          <t>Segmentation accuracy eval on 20 real recordings</t>
        </is>
      </c>
      <c r="E89" s="49" t="n"/>
      <c r="F89" s="47" t="n"/>
      <c r="G89" s="47" t="n"/>
      <c r="H89" s="50" t="inlineStr">
        <is>
          <t>Highest</t>
        </is>
      </c>
      <c r="I89" s="50" t="n"/>
      <c r="J89" s="50" t="n">
        <v>10</v>
      </c>
      <c r="K89" s="47" t="inlineStr">
        <is>
          <t>QA</t>
        </is>
      </c>
      <c r="L89" s="47" t="inlineStr">
        <is>
          <t>M1 Prove the wedge</t>
        </is>
      </c>
      <c r="M89" s="47" t="inlineStr">
        <is>
          <t>qa</t>
        </is>
      </c>
      <c r="N89" s="53" t="inlineStr">
        <is>
          <t>Blocked</t>
        </is>
      </c>
      <c r="O89" s="36" t="inlineStr">
        <is>
          <t>scoring done: segments-review.csv boundary precision/recall/F1 ±2 s; needs 20 real recordings</t>
        </is>
      </c>
      <c r="P89" s="36" t="inlineStr">
        <is>
          <t>2026-09-23</t>
        </is>
      </c>
    </row>
    <row r="90" ht="15" customHeight="1" s="37">
      <c r="A90" s="44" t="inlineStr">
        <is>
          <t>D3</t>
        </is>
      </c>
      <c r="B90" s="44" t="inlineStr">
        <is>
          <t>EPIC-D</t>
        </is>
      </c>
      <c r="C90" s="44" t="inlineStr">
        <is>
          <t>Story</t>
        </is>
      </c>
      <c r="D90" s="45" t="inlineStr">
        <is>
          <t>As a system, I extract one deduplicated key frame per detected action.</t>
        </is>
      </c>
      <c r="E90" s="45" t="inlineStr">
        <is>
          <t>Continues without screenshots rather than failing the whole generation.</t>
        </is>
      </c>
      <c r="F90" s="44" t="n"/>
      <c r="G90" s="44" t="inlineStr">
        <is>
          <t>EPIC-D</t>
        </is>
      </c>
      <c r="H90" s="46" t="inlineStr">
        <is>
          <t>Highest</t>
        </is>
      </c>
      <c r="I90" s="46" t="n">
        <v>8</v>
      </c>
      <c r="J90" s="46">
        <f>SUM(J91:J93)</f>
        <v/>
      </c>
      <c r="K90" s="44" t="n"/>
      <c r="L90" s="44" t="inlineStr">
        <is>
          <t>M1 Prove the wedge</t>
        </is>
      </c>
      <c r="M90" s="44" t="inlineStr">
        <is>
          <t>p0,m1</t>
        </is>
      </c>
      <c r="N90" s="43" t="inlineStr">
        <is>
          <t>Done</t>
        </is>
      </c>
      <c r="O90" s="36" t="inlineStr">
        <is>
          <t>3/3 sub-tasks done</t>
        </is>
      </c>
      <c r="P90" s="36" t="inlineStr">
        <is>
          <t>2026-09-23</t>
        </is>
      </c>
    </row>
    <row r="91" ht="15" customHeight="1" s="37">
      <c r="A91" s="47" t="inlineStr">
        <is>
          <t>D3-T1</t>
        </is>
      </c>
      <c r="B91" s="47" t="inlineStr">
        <is>
          <t>D3</t>
        </is>
      </c>
      <c r="C91" s="47" t="inlineStr">
        <is>
          <t>Sub-task</t>
        </is>
      </c>
      <c r="D91" s="48" t="inlineStr">
        <is>
          <t>Frame extraction per segment via ffmpeg</t>
        </is>
      </c>
      <c r="E91" s="49" t="n"/>
      <c r="F91" s="47" t="n"/>
      <c r="G91" s="47" t="n"/>
      <c r="H91" s="50" t="inlineStr">
        <is>
          <t>Highest</t>
        </is>
      </c>
      <c r="I91" s="50" t="n"/>
      <c r="J91" s="50" t="n">
        <v>10</v>
      </c>
      <c r="K91" s="47" t="inlineStr">
        <is>
          <t>AI/Pipeline</t>
        </is>
      </c>
      <c r="L91" s="47" t="inlineStr">
        <is>
          <t>M1 Prove the wedge</t>
        </is>
      </c>
      <c r="M91" s="47" t="inlineStr">
        <is>
          <t>ai-pipeline</t>
        </is>
      </c>
      <c r="N91" s="43" t="inlineStr">
        <is>
          <t>Done</t>
        </is>
      </c>
      <c r="O91" s="36" t="inlineStr">
        <is>
          <t>ffmpeg midpoint frame</t>
        </is>
      </c>
      <c r="P91" s="36" t="inlineStr">
        <is>
          <t>2026-09-22</t>
        </is>
      </c>
    </row>
    <row r="92" ht="15" customHeight="1" s="37">
      <c r="A92" s="47" t="inlineStr">
        <is>
          <t>D3-T2</t>
        </is>
      </c>
      <c r="B92" s="47" t="inlineStr">
        <is>
          <t>D3</t>
        </is>
      </c>
      <c r="C92" s="47" t="inlineStr">
        <is>
          <t>Sub-task</t>
        </is>
      </c>
      <c r="D92" s="48" t="inlineStr">
        <is>
          <t>Perceptual dedup of near-identical frames</t>
        </is>
      </c>
      <c r="E92" s="49" t="n"/>
      <c r="F92" s="47" t="n"/>
      <c r="G92" s="47" t="n"/>
      <c r="H92" s="50" t="inlineStr">
        <is>
          <t>Highest</t>
        </is>
      </c>
      <c r="I92" s="50" t="n"/>
      <c r="J92" s="50" t="n">
        <v>8</v>
      </c>
      <c r="K92" s="47" t="inlineStr">
        <is>
          <t>AI/Pipeline</t>
        </is>
      </c>
      <c r="L92" s="47" t="inlineStr">
        <is>
          <t>M1 Prove the wedge</t>
        </is>
      </c>
      <c r="M92" s="47" t="inlineStr">
        <is>
          <t>ai-pipeline</t>
        </is>
      </c>
      <c r="N92" s="43" t="inlineStr">
        <is>
          <t>Done</t>
        </is>
      </c>
      <c r="O92" s="36" t="inlineStr">
        <is>
          <t>64-bit difference hash via FFmpeg, Hamming ≤ 6 bits = same screen; frame taken after the screen settles</t>
        </is>
      </c>
      <c r="P92" s="36" t="inlineStr">
        <is>
          <t>2026-09-23</t>
        </is>
      </c>
    </row>
    <row r="93" ht="15" customHeight="1" s="37">
      <c r="A93" s="47" t="inlineStr">
        <is>
          <t>D3-T3</t>
        </is>
      </c>
      <c r="B93" s="47" t="inlineStr">
        <is>
          <t>D3</t>
        </is>
      </c>
      <c r="C93" s="47" t="inlineStr">
        <is>
          <t>Sub-task</t>
        </is>
      </c>
      <c r="D93" s="48" t="inlineStr">
        <is>
          <t>Store frames as media_assets with step linkage</t>
        </is>
      </c>
      <c r="E93" s="49" t="n"/>
      <c r="F93" s="47" t="n"/>
      <c r="G93" s="47" t="n"/>
      <c r="H93" s="50" t="inlineStr">
        <is>
          <t>Highest</t>
        </is>
      </c>
      <c r="I93" s="50" t="n"/>
      <c r="J93" s="50" t="n">
        <v>6</v>
      </c>
      <c r="K93" s="47" t="inlineStr">
        <is>
          <t>Backend</t>
        </is>
      </c>
      <c r="L93" s="47" t="inlineStr">
        <is>
          <t>M1 Prove the wedge</t>
        </is>
      </c>
      <c r="M93" s="47" t="inlineStr">
        <is>
          <t>backend</t>
        </is>
      </c>
      <c r="N93" s="43" t="inlineStr">
        <is>
          <t>Done</t>
        </is>
      </c>
      <c r="P93" s="36" t="inlineStr">
        <is>
          <t>2026-09-22</t>
        </is>
      </c>
    </row>
    <row r="94" ht="23.85" customHeight="1" s="37">
      <c r="A94" s="44" t="inlineStr">
        <is>
          <t>D4</t>
        </is>
      </c>
      <c r="B94" s="44" t="inlineStr">
        <is>
          <t>EPIC-D</t>
        </is>
      </c>
      <c r="C94" s="44" t="inlineStr">
        <is>
          <t>Story</t>
        </is>
      </c>
      <c r="D94" s="45" t="inlineStr">
        <is>
          <t>As a contributor, a structured draft SOP is generated with purpose, scope, numbered steps, screenshots and outcome.</t>
        </is>
      </c>
      <c r="E94" s="45" t="inlineStr">
        <is>
          <t>Always a draft. Never auto-approved, never auto-indexed.</t>
        </is>
      </c>
      <c r="F94" s="44" t="n"/>
      <c r="G94" s="44" t="inlineStr">
        <is>
          <t>EPIC-D</t>
        </is>
      </c>
      <c r="H94" s="46" t="inlineStr">
        <is>
          <t>Highest</t>
        </is>
      </c>
      <c r="I94" s="46" t="n">
        <v>13</v>
      </c>
      <c r="J94" s="46">
        <f>SUM(J95:J99)</f>
        <v/>
      </c>
      <c r="K94" s="44" t="n"/>
      <c r="L94" s="44" t="inlineStr">
        <is>
          <t>M1 Prove the wedge</t>
        </is>
      </c>
      <c r="M94" s="44" t="inlineStr">
        <is>
          <t>p0,m1</t>
        </is>
      </c>
      <c r="N94" s="51" t="inlineStr">
        <is>
          <t>In Progress</t>
        </is>
      </c>
      <c r="O94" s="36" t="inlineStr">
        <is>
          <t>4/5 sub-tasks done</t>
        </is>
      </c>
      <c r="P94" s="36" t="inlineStr">
        <is>
          <t>2026-09-23</t>
        </is>
      </c>
    </row>
    <row r="95" ht="15" customHeight="1" s="37">
      <c r="A95" s="47" t="inlineStr">
        <is>
          <t>D4-T1</t>
        </is>
      </c>
      <c r="B95" s="47" t="inlineStr">
        <is>
          <t>D4</t>
        </is>
      </c>
      <c r="C95" s="47" t="inlineStr">
        <is>
          <t>Sub-task</t>
        </is>
      </c>
      <c r="D95" s="48" t="inlineStr">
        <is>
          <t>Generation prompt and structured output schema</t>
        </is>
      </c>
      <c r="E95" s="49" t="n"/>
      <c r="F95" s="47" t="n"/>
      <c r="G95" s="47" t="n"/>
      <c r="H95" s="50" t="inlineStr">
        <is>
          <t>Highest</t>
        </is>
      </c>
      <c r="I95" s="50" t="n"/>
      <c r="J95" s="50" t="n">
        <v>16</v>
      </c>
      <c r="K95" s="47" t="inlineStr">
        <is>
          <t>AI/Pipeline</t>
        </is>
      </c>
      <c r="L95" s="47" t="inlineStr">
        <is>
          <t>M1 Prove the wedge</t>
        </is>
      </c>
      <c r="M95" s="47" t="inlineStr">
        <is>
          <t>ai-pipeline</t>
        </is>
      </c>
      <c r="N95" s="43" t="inlineStr">
        <is>
          <t>Done</t>
        </is>
      </c>
      <c r="O95" s="36" t="inlineStr">
        <is>
          <t>[generate] prompt, JSON schema</t>
        </is>
      </c>
      <c r="P95" s="36" t="inlineStr">
        <is>
          <t>2026-09-22</t>
        </is>
      </c>
    </row>
    <row r="96" ht="15" customHeight="1" s="37">
      <c r="A96" s="47" t="inlineStr">
        <is>
          <t>D4-T2</t>
        </is>
      </c>
      <c r="B96" s="47" t="inlineStr">
        <is>
          <t>D4</t>
        </is>
      </c>
      <c r="C96" s="47" t="inlineStr">
        <is>
          <t>Sub-task</t>
        </is>
      </c>
      <c r="D96" s="48" t="inlineStr">
        <is>
          <t>Per-segment transcript summarisation for cost control</t>
        </is>
      </c>
      <c r="E96" s="49" t="n"/>
      <c r="F96" s="47" t="n"/>
      <c r="G96" s="47" t="n"/>
      <c r="H96" s="50" t="inlineStr">
        <is>
          <t>Highest</t>
        </is>
      </c>
      <c r="I96" s="50" t="n"/>
      <c r="J96" s="50" t="n">
        <v>8</v>
      </c>
      <c r="K96" s="47" t="inlineStr">
        <is>
          <t>AI/Pipeline</t>
        </is>
      </c>
      <c r="L96" s="47" t="inlineStr">
        <is>
          <t>M1 Prove the wedge</t>
        </is>
      </c>
      <c r="M96" s="47" t="inlineStr">
        <is>
          <t>ai-pipeline</t>
        </is>
      </c>
      <c r="N96" s="43" t="inlineStr">
        <is>
          <t>Done</t>
        </is>
      </c>
      <c r="O96" s="36" t="inlineStr">
        <is>
          <t>DraftWriter digests long transcripts per segment in batches ([digest] prompt) before generation; raw words kept where a digest fails</t>
        </is>
      </c>
      <c r="P96" s="36" t="inlineStr">
        <is>
          <t>2026-09-23</t>
        </is>
      </c>
    </row>
    <row r="97" ht="15" customHeight="1" s="37">
      <c r="A97" s="47" t="inlineStr">
        <is>
          <t>D4-T3</t>
        </is>
      </c>
      <c r="B97" s="47" t="inlineStr">
        <is>
          <t>D4</t>
        </is>
      </c>
      <c r="C97" s="47" t="inlineStr">
        <is>
          <t>Sub-task</t>
        </is>
      </c>
      <c r="D97" s="48" t="inlineStr">
        <is>
          <t>Draft document and step assembly from model output</t>
        </is>
      </c>
      <c r="E97" s="49" t="n"/>
      <c r="F97" s="47" t="n"/>
      <c r="G97" s="47" t="n"/>
      <c r="H97" s="50" t="inlineStr">
        <is>
          <t>Highest</t>
        </is>
      </c>
      <c r="I97" s="50" t="n"/>
      <c r="J97" s="50" t="n">
        <v>10</v>
      </c>
      <c r="K97" s="47" t="inlineStr">
        <is>
          <t>Backend</t>
        </is>
      </c>
      <c r="L97" s="47" t="inlineStr">
        <is>
          <t>M1 Prove the wedge</t>
        </is>
      </c>
      <c r="M97" s="47" t="inlineStr">
        <is>
          <t>backend</t>
        </is>
      </c>
      <c r="N97" s="43" t="inlineStr">
        <is>
          <t>Done</t>
        </is>
      </c>
      <c r="P97" s="36" t="inlineStr">
        <is>
          <t>2026-09-22</t>
        </is>
      </c>
    </row>
    <row r="98" ht="15" customHeight="1" s="37">
      <c r="A98" s="47" t="inlineStr">
        <is>
          <t>D4-T4</t>
        </is>
      </c>
      <c r="B98" s="47" t="inlineStr">
        <is>
          <t>D4</t>
        </is>
      </c>
      <c r="C98" s="47" t="inlineStr">
        <is>
          <t>Sub-task</t>
        </is>
      </c>
      <c r="D98" s="48" t="inlineStr">
        <is>
          <t>Re-run creates a new draft and never overwrites edits</t>
        </is>
      </c>
      <c r="E98" s="49" t="n"/>
      <c r="F98" s="47" t="n"/>
      <c r="G98" s="47" t="n"/>
      <c r="H98" s="50" t="inlineStr">
        <is>
          <t>Highest</t>
        </is>
      </c>
      <c r="I98" s="50" t="n"/>
      <c r="J98" s="50" t="n">
        <v>6</v>
      </c>
      <c r="K98" s="47" t="inlineStr">
        <is>
          <t>Backend</t>
        </is>
      </c>
      <c r="L98" s="47" t="inlineStr">
        <is>
          <t>M1 Prove the wedge</t>
        </is>
      </c>
      <c r="M98" s="47" t="inlineStr">
        <is>
          <t>backend</t>
        </is>
      </c>
      <c r="N98" s="43" t="inlineStr">
        <is>
          <t>Done</t>
        </is>
      </c>
      <c r="O98" s="36" t="inlineStr">
        <is>
          <t>regenerate creates a new draft</t>
        </is>
      </c>
      <c r="P98" s="36" t="inlineStr">
        <is>
          <t>2026-09-22</t>
        </is>
      </c>
    </row>
    <row r="99" ht="15" customHeight="1" s="37">
      <c r="A99" s="47" t="inlineStr">
        <is>
          <t>D4-T5</t>
        </is>
      </c>
      <c r="B99" s="47" t="inlineStr">
        <is>
          <t>D4</t>
        </is>
      </c>
      <c r="C99" s="47" t="inlineStr">
        <is>
          <t>Sub-task</t>
        </is>
      </c>
      <c r="D99" s="48" t="inlineStr">
        <is>
          <t>Generation eval set and scoring harness (20 recordings)</t>
        </is>
      </c>
      <c r="E99" s="49" t="n"/>
      <c r="F99" s="47" t="n"/>
      <c r="G99" s="47" t="n"/>
      <c r="H99" s="50" t="inlineStr">
        <is>
          <t>Highest</t>
        </is>
      </c>
      <c r="I99" s="50" t="n"/>
      <c r="J99" s="50" t="n">
        <v>12</v>
      </c>
      <c r="K99" s="47" t="inlineStr">
        <is>
          <t>QA</t>
        </is>
      </c>
      <c r="L99" s="47" t="inlineStr">
        <is>
          <t>M1 Prove the wedge</t>
        </is>
      </c>
      <c r="M99" s="47" t="inlineStr">
        <is>
          <t>qa</t>
        </is>
      </c>
      <c r="N99" s="53" t="inlineStr">
        <is>
          <t>Blocked</t>
        </is>
      </c>
      <c r="O99" s="36" t="inlineStr">
        <is>
          <t>harness done: php artisan pipeline:eval + score.py, 20-slot eval-set.csv; needs the 20 real recordings</t>
        </is>
      </c>
      <c r="P99" s="36" t="inlineStr">
        <is>
          <t>2026-09-23</t>
        </is>
      </c>
    </row>
    <row r="100" ht="23.85" customHeight="1" s="37">
      <c r="A100" s="44" t="inlineStr">
        <is>
          <t>D5</t>
        </is>
      </c>
      <c r="B100" s="44" t="inlineStr">
        <is>
          <t>EPIC-D</t>
        </is>
      </c>
      <c r="C100" s="44" t="inlineStr">
        <is>
          <t>Story</t>
        </is>
      </c>
      <c r="D100" s="45" t="inlineStr">
        <is>
          <t>As a contributor, each generated step links back to its timestamp in the recording so I can verify it.</t>
        </is>
      </c>
      <c r="E100" s="45" t="inlineStr">
        <is>
          <t>Submit stays disabled until every step is verified or edited.</t>
        </is>
      </c>
      <c r="F100" s="44" t="n"/>
      <c r="G100" s="44" t="inlineStr">
        <is>
          <t>EPIC-D</t>
        </is>
      </c>
      <c r="H100" s="46" t="inlineStr">
        <is>
          <t>Highest</t>
        </is>
      </c>
      <c r="I100" s="46" t="n">
        <v>5</v>
      </c>
      <c r="J100" s="46">
        <f>SUM(J101:J103)</f>
        <v/>
      </c>
      <c r="K100" s="44" t="n"/>
      <c r="L100" s="44" t="inlineStr">
        <is>
          <t>M1 Prove the wedge</t>
        </is>
      </c>
      <c r="M100" s="44" t="inlineStr">
        <is>
          <t>p0,m1</t>
        </is>
      </c>
      <c r="N100" s="43" t="inlineStr">
        <is>
          <t>Done</t>
        </is>
      </c>
      <c r="O100" s="36" t="inlineStr">
        <is>
          <t>3/3 sub-tasks done</t>
        </is>
      </c>
      <c r="P100" s="36" t="inlineStr">
        <is>
          <t>2026-09-22</t>
        </is>
      </c>
    </row>
    <row r="101" ht="15" customHeight="1" s="37">
      <c r="A101" s="47" t="inlineStr">
        <is>
          <t>D5-T1</t>
        </is>
      </c>
      <c r="B101" s="47" t="inlineStr">
        <is>
          <t>D5</t>
        </is>
      </c>
      <c r="C101" s="47" t="inlineStr">
        <is>
          <t>Sub-task</t>
        </is>
      </c>
      <c r="D101" s="48" t="inlineStr">
        <is>
          <t>Persist source timestamps on generated steps</t>
        </is>
      </c>
      <c r="E101" s="49" t="n"/>
      <c r="F101" s="47" t="n"/>
      <c r="G101" s="47" t="n"/>
      <c r="H101" s="50" t="inlineStr">
        <is>
          <t>Highest</t>
        </is>
      </c>
      <c r="I101" s="50" t="n"/>
      <c r="J101" s="50" t="n">
        <v>3</v>
      </c>
      <c r="K101" s="47" t="inlineStr">
        <is>
          <t>Backend</t>
        </is>
      </c>
      <c r="L101" s="47" t="inlineStr">
        <is>
          <t>M1 Prove the wedge</t>
        </is>
      </c>
      <c r="M101" s="47" t="inlineStr">
        <is>
          <t>backend</t>
        </is>
      </c>
      <c r="N101" s="43" t="inlineStr">
        <is>
          <t>Done</t>
        </is>
      </c>
      <c r="P101" s="36" t="inlineStr">
        <is>
          <t>2026-09-22</t>
        </is>
      </c>
    </row>
    <row r="102" ht="15" customHeight="1" s="37">
      <c r="A102" s="47" t="inlineStr">
        <is>
          <t>D5-T2</t>
        </is>
      </c>
      <c r="B102" s="47" t="inlineStr">
        <is>
          <t>D5</t>
        </is>
      </c>
      <c r="C102" s="47" t="inlineStr">
        <is>
          <t>Sub-task</t>
        </is>
      </c>
      <c r="D102" s="48" t="inlineStr">
        <is>
          <t>Draft review screen with bound scrubber and steps (S9)</t>
        </is>
      </c>
      <c r="E102" s="49" t="n"/>
      <c r="F102" s="47" t="n"/>
      <c r="G102" s="47" t="n"/>
      <c r="H102" s="50" t="inlineStr">
        <is>
          <t>Highest</t>
        </is>
      </c>
      <c r="I102" s="50" t="n"/>
      <c r="J102" s="50" t="n">
        <v>16</v>
      </c>
      <c r="K102" s="47" t="inlineStr">
        <is>
          <t>Frontend</t>
        </is>
      </c>
      <c r="L102" s="47" t="inlineStr">
        <is>
          <t>M1 Prove the wedge</t>
        </is>
      </c>
      <c r="M102" s="47" t="inlineStr">
        <is>
          <t>frontend</t>
        </is>
      </c>
      <c r="N102" s="43" t="inlineStr">
        <is>
          <t>Done</t>
        </is>
      </c>
      <c r="O102" s="36" t="inlineStr">
        <is>
          <t>S9</t>
        </is>
      </c>
      <c r="P102" s="36" t="inlineStr">
        <is>
          <t>2026-09-22</t>
        </is>
      </c>
    </row>
    <row r="103" ht="15" customHeight="1" s="37">
      <c r="A103" s="47" t="inlineStr">
        <is>
          <t>D5-T3</t>
        </is>
      </c>
      <c r="B103" s="47" t="inlineStr">
        <is>
          <t>D5</t>
        </is>
      </c>
      <c r="C103" s="47" t="inlineStr">
        <is>
          <t>Sub-task</t>
        </is>
      </c>
      <c r="D103" s="48" t="inlineStr">
        <is>
          <t>Verify control and submit gating</t>
        </is>
      </c>
      <c r="E103" s="49" t="n"/>
      <c r="F103" s="47" t="n"/>
      <c r="G103" s="47" t="n"/>
      <c r="H103" s="50" t="inlineStr">
        <is>
          <t>Highest</t>
        </is>
      </c>
      <c r="I103" s="50" t="n"/>
      <c r="J103" s="50" t="n">
        <v>8</v>
      </c>
      <c r="K103" s="47" t="inlineStr">
        <is>
          <t>Frontend</t>
        </is>
      </c>
      <c r="L103" s="47" t="inlineStr">
        <is>
          <t>M1 Prove the wedge</t>
        </is>
      </c>
      <c r="M103" s="47" t="inlineStr">
        <is>
          <t>frontend</t>
        </is>
      </c>
      <c r="N103" s="43" t="inlineStr">
        <is>
          <t>Done</t>
        </is>
      </c>
      <c r="O103" s="36" t="inlineStr">
        <is>
          <t>FR-315 gating</t>
        </is>
      </c>
      <c r="P103" s="36" t="inlineStr">
        <is>
          <t>2026-09-22</t>
        </is>
      </c>
    </row>
    <row r="104" ht="15" customHeight="1" s="37">
      <c r="A104" s="40" t="inlineStr">
        <is>
          <t>EPIC-E</t>
        </is>
      </c>
      <c r="B104" s="40" t="n"/>
      <c r="C104" s="40" t="inlineStr">
        <is>
          <t>Epic</t>
        </is>
      </c>
      <c r="D104" s="41" t="inlineStr">
        <is>
          <t>E — Governance</t>
        </is>
      </c>
      <c r="E104" s="41" t="inlineStr">
        <is>
          <t>Approval workflow, versioning, diffs and the audit trail.</t>
        </is>
      </c>
      <c r="F104" s="40" t="inlineStr">
        <is>
          <t>Governance</t>
        </is>
      </c>
      <c r="G104" s="40" t="n"/>
      <c r="H104" s="42" t="n"/>
      <c r="I104" s="42">
        <f>SUMIFS(I$2:I$273,G$2:G$273,"EPIC-E",C$2:C$273,"Story")</f>
        <v/>
      </c>
      <c r="J104" s="42">
        <f>SUMIFS(J$2:J$273,G$2:G$273,"EPIC-E",C$2:C$273,"Story")</f>
        <v/>
      </c>
      <c r="K104" s="40" t="n"/>
      <c r="L104" s="40" t="n"/>
      <c r="M104" s="40" t="inlineStr">
        <is>
          <t>epic</t>
        </is>
      </c>
      <c r="N104" s="43" t="inlineStr">
        <is>
          <t>Done</t>
        </is>
      </c>
      <c r="O104" s="36" t="inlineStr">
        <is>
          <t>18/18 sub-tasks done, 6/6 stories done</t>
        </is>
      </c>
      <c r="P104" s="36" t="inlineStr">
        <is>
          <t>2026-09-22</t>
        </is>
      </c>
    </row>
    <row r="105" ht="23.85" customHeight="1" s="37">
      <c r="A105" s="44" t="inlineStr">
        <is>
          <t>E1</t>
        </is>
      </c>
      <c r="B105" s="44" t="inlineStr">
        <is>
          <t>EPIC-E</t>
        </is>
      </c>
      <c r="C105" s="44" t="inlineStr">
        <is>
          <t>Story</t>
        </is>
      </c>
      <c r="D105" s="45" t="inlineStr">
        <is>
          <t>As an owner, I can submit a draft for review and approve or request changes.</t>
        </is>
      </c>
      <c r="E105" s="45" t="inlineStr">
        <is>
          <t>Self-approval is off by default. Request changes needs a comment.</t>
        </is>
      </c>
      <c r="F105" s="44" t="n"/>
      <c r="G105" s="44" t="inlineStr">
        <is>
          <t>EPIC-E</t>
        </is>
      </c>
      <c r="H105" s="46" t="inlineStr">
        <is>
          <t>High</t>
        </is>
      </c>
      <c r="I105" s="46" t="n">
        <v>8</v>
      </c>
      <c r="J105" s="46">
        <f>SUM(J106:J109)</f>
        <v/>
      </c>
      <c r="K105" s="44" t="n"/>
      <c r="L105" s="44" t="inlineStr">
        <is>
          <t>M2 Design partners</t>
        </is>
      </c>
      <c r="M105" s="44" t="inlineStr">
        <is>
          <t>p1,m2</t>
        </is>
      </c>
      <c r="N105" s="43" t="inlineStr">
        <is>
          <t>Done</t>
        </is>
      </c>
      <c r="O105" s="36" t="inlineStr">
        <is>
          <t>4/4 sub-tasks done</t>
        </is>
      </c>
      <c r="P105" s="36" t="inlineStr">
        <is>
          <t>2026-09-22</t>
        </is>
      </c>
    </row>
    <row r="106" ht="15" customHeight="1" s="37">
      <c r="A106" s="47" t="inlineStr">
        <is>
          <t>E1-T1</t>
        </is>
      </c>
      <c r="B106" s="47" t="inlineStr">
        <is>
          <t>E1</t>
        </is>
      </c>
      <c r="C106" s="47" t="inlineStr">
        <is>
          <t>Sub-task</t>
        </is>
      </c>
      <c r="D106" s="48" t="inlineStr">
        <is>
          <t>Approval state machine and transition guards</t>
        </is>
      </c>
      <c r="E106" s="49" t="n"/>
      <c r="F106" s="47" t="n"/>
      <c r="G106" s="47" t="n"/>
      <c r="H106" s="50" t="inlineStr">
        <is>
          <t>High</t>
        </is>
      </c>
      <c r="I106" s="50" t="n"/>
      <c r="J106" s="50" t="n">
        <v>8</v>
      </c>
      <c r="K106" s="47" t="inlineStr">
        <is>
          <t>Backend</t>
        </is>
      </c>
      <c r="L106" s="47" t="inlineStr">
        <is>
          <t>M2 Design partners</t>
        </is>
      </c>
      <c r="M106" s="47" t="inlineStr">
        <is>
          <t>backend</t>
        </is>
      </c>
      <c r="N106" s="43" t="inlineStr">
        <is>
          <t>Done</t>
        </is>
      </c>
      <c r="O106" s="36" t="inlineStr">
        <is>
          <t>Workflow</t>
        </is>
      </c>
      <c r="P106" s="36" t="inlineStr">
        <is>
          <t>2026-09-22</t>
        </is>
      </c>
    </row>
    <row r="107" ht="15" customHeight="1" s="37">
      <c r="A107" s="47" t="inlineStr">
        <is>
          <t>E1-T2</t>
        </is>
      </c>
      <c r="B107" s="47" t="inlineStr">
        <is>
          <t>E1</t>
        </is>
      </c>
      <c r="C107" s="47" t="inlineStr">
        <is>
          <t>Sub-task</t>
        </is>
      </c>
      <c r="D107" s="48" t="inlineStr">
        <is>
          <t>Self-approval workspace setting enforcement</t>
        </is>
      </c>
      <c r="E107" s="49" t="n"/>
      <c r="F107" s="47" t="n"/>
      <c r="G107" s="47" t="n"/>
      <c r="H107" s="50" t="inlineStr">
        <is>
          <t>High</t>
        </is>
      </c>
      <c r="I107" s="50" t="n"/>
      <c r="J107" s="50" t="n">
        <v>3</v>
      </c>
      <c r="K107" s="47" t="inlineStr">
        <is>
          <t>Backend</t>
        </is>
      </c>
      <c r="L107" s="47" t="inlineStr">
        <is>
          <t>M2 Design partners</t>
        </is>
      </c>
      <c r="M107" s="47" t="inlineStr">
        <is>
          <t>backend</t>
        </is>
      </c>
      <c r="N107" s="43" t="inlineStr">
        <is>
          <t>Done</t>
        </is>
      </c>
      <c r="P107" s="36" t="inlineStr">
        <is>
          <t>2026-09-22</t>
        </is>
      </c>
    </row>
    <row r="108" ht="15" customHeight="1" s="37">
      <c r="A108" s="47" t="inlineStr">
        <is>
          <t>E1-T3</t>
        </is>
      </c>
      <c r="B108" s="47" t="inlineStr">
        <is>
          <t>E1</t>
        </is>
      </c>
      <c r="C108" s="47" t="inlineStr">
        <is>
          <t>Sub-task</t>
        </is>
      </c>
      <c r="D108" s="48" t="inlineStr">
        <is>
          <t>Approval review screen, diff as default view (S12)</t>
        </is>
      </c>
      <c r="E108" s="49" t="n"/>
      <c r="F108" s="47" t="n"/>
      <c r="G108" s="47" t="n"/>
      <c r="H108" s="50" t="inlineStr">
        <is>
          <t>High</t>
        </is>
      </c>
      <c r="I108" s="50" t="n"/>
      <c r="J108" s="50" t="n">
        <v>12</v>
      </c>
      <c r="K108" s="47" t="inlineStr">
        <is>
          <t>Frontend</t>
        </is>
      </c>
      <c r="L108" s="47" t="inlineStr">
        <is>
          <t>M2 Design partners</t>
        </is>
      </c>
      <c r="M108" s="47" t="inlineStr">
        <is>
          <t>frontend</t>
        </is>
      </c>
      <c r="N108" s="43" t="inlineStr">
        <is>
          <t>Done</t>
        </is>
      </c>
      <c r="O108" s="36" t="inlineStr">
        <is>
          <t>S12</t>
        </is>
      </c>
      <c r="P108" s="36" t="inlineStr">
        <is>
          <t>2026-09-22</t>
        </is>
      </c>
    </row>
    <row r="109" ht="15" customHeight="1" s="37">
      <c r="A109" s="47" t="inlineStr">
        <is>
          <t>E1-T4</t>
        </is>
      </c>
      <c r="B109" s="47" t="inlineStr">
        <is>
          <t>E1</t>
        </is>
      </c>
      <c r="C109" s="47" t="inlineStr">
        <is>
          <t>Sub-task</t>
        </is>
      </c>
      <c r="D109" s="48" t="inlineStr">
        <is>
          <t>In-app and email review notifications</t>
        </is>
      </c>
      <c r="E109" s="49" t="n"/>
      <c r="F109" s="47" t="n"/>
      <c r="G109" s="47" t="n"/>
      <c r="H109" s="50" t="inlineStr">
        <is>
          <t>High</t>
        </is>
      </c>
      <c r="I109" s="50" t="n"/>
      <c r="J109" s="50" t="n">
        <v>7</v>
      </c>
      <c r="K109" s="47" t="inlineStr">
        <is>
          <t>Full stack</t>
        </is>
      </c>
      <c r="L109" s="47" t="inlineStr">
        <is>
          <t>M2 Design partners</t>
        </is>
      </c>
      <c r="M109" s="47" t="inlineStr">
        <is>
          <t>full-stack</t>
        </is>
      </c>
      <c r="N109" s="43" t="inlineStr">
        <is>
          <t>Done</t>
        </is>
      </c>
      <c r="P109" s="36" t="inlineStr">
        <is>
          <t>2026-09-22</t>
        </is>
      </c>
    </row>
    <row r="110" ht="15" customHeight="1" s="37">
      <c r="A110" s="44" t="inlineStr">
        <is>
          <t>E2</t>
        </is>
      </c>
      <c r="B110" s="44" t="inlineStr">
        <is>
          <t>EPIC-E</t>
        </is>
      </c>
      <c r="C110" s="44" t="inlineStr">
        <is>
          <t>Story</t>
        </is>
      </c>
      <c r="D110" s="45" t="inlineStr">
        <is>
          <t>As a reader, I see an approved-by and version badge so I know I can trust it.</t>
        </is>
      </c>
      <c r="E110" s="45" t="inlineStr">
        <is>
          <t>The control block above the title.</t>
        </is>
      </c>
      <c r="F110" s="44" t="n"/>
      <c r="G110" s="44" t="inlineStr">
        <is>
          <t>EPIC-E</t>
        </is>
      </c>
      <c r="H110" s="46" t="inlineStr">
        <is>
          <t>High</t>
        </is>
      </c>
      <c r="I110" s="46" t="n">
        <v>3</v>
      </c>
      <c r="J110" s="46">
        <f>SUM(J111:J112)</f>
        <v/>
      </c>
      <c r="K110" s="44" t="n"/>
      <c r="L110" s="44" t="inlineStr">
        <is>
          <t>M2 Design partners</t>
        </is>
      </c>
      <c r="M110" s="44" t="inlineStr">
        <is>
          <t>p1,m2</t>
        </is>
      </c>
      <c r="N110" s="43" t="inlineStr">
        <is>
          <t>Done</t>
        </is>
      </c>
      <c r="O110" s="36" t="inlineStr">
        <is>
          <t>2/2 sub-tasks done</t>
        </is>
      </c>
      <c r="P110" s="36" t="inlineStr">
        <is>
          <t>2026-09-22</t>
        </is>
      </c>
    </row>
    <row r="111" ht="15" customHeight="1" s="37">
      <c r="A111" s="47" t="inlineStr">
        <is>
          <t>E2-T1</t>
        </is>
      </c>
      <c r="B111" s="47" t="inlineStr">
        <is>
          <t>E2</t>
        </is>
      </c>
      <c r="C111" s="47" t="inlineStr">
        <is>
          <t>Sub-task</t>
        </is>
      </c>
      <c r="D111" s="48" t="inlineStr">
        <is>
          <t>Control block in document reader (S7)</t>
        </is>
      </c>
      <c r="E111" s="49" t="n"/>
      <c r="F111" s="47" t="n"/>
      <c r="G111" s="47" t="n"/>
      <c r="H111" s="50" t="inlineStr">
        <is>
          <t>High</t>
        </is>
      </c>
      <c r="I111" s="50" t="n"/>
      <c r="J111" s="50" t="n">
        <v>6</v>
      </c>
      <c r="K111" s="47" t="inlineStr">
        <is>
          <t>Frontend</t>
        </is>
      </c>
      <c r="L111" s="47" t="inlineStr">
        <is>
          <t>M2 Design partners</t>
        </is>
      </c>
      <c r="M111" s="47" t="inlineStr">
        <is>
          <t>frontend</t>
        </is>
      </c>
      <c r="N111" s="43" t="inlineStr">
        <is>
          <t>Done</t>
        </is>
      </c>
      <c r="O111" s="36" t="inlineStr">
        <is>
          <t>S7 control block</t>
        </is>
      </c>
      <c r="P111" s="36" t="inlineStr">
        <is>
          <t>2026-09-22</t>
        </is>
      </c>
    </row>
    <row r="112" ht="15" customHeight="1" s="37">
      <c r="A112" s="47" t="inlineStr">
        <is>
          <t>E2-T2</t>
        </is>
      </c>
      <c r="B112" s="47" t="inlineStr">
        <is>
          <t>E2</t>
        </is>
      </c>
      <c r="C112" s="47" t="inlineStr">
        <is>
          <t>Sub-task</t>
        </is>
      </c>
      <c r="D112" s="48" t="inlineStr">
        <is>
          <t>Expose version and approver metadata via API</t>
        </is>
      </c>
      <c r="E112" s="49" t="n"/>
      <c r="F112" s="47" t="n"/>
      <c r="G112" s="47" t="n"/>
      <c r="H112" s="50" t="inlineStr">
        <is>
          <t>High</t>
        </is>
      </c>
      <c r="I112" s="50" t="n"/>
      <c r="J112" s="50" t="n">
        <v>3</v>
      </c>
      <c r="K112" s="47" t="inlineStr">
        <is>
          <t>Backend</t>
        </is>
      </c>
      <c r="L112" s="47" t="inlineStr">
        <is>
          <t>M2 Design partners</t>
        </is>
      </c>
      <c r="M112" s="47" t="inlineStr">
        <is>
          <t>backend</t>
        </is>
      </c>
      <c r="N112" s="43" t="inlineStr">
        <is>
          <t>Done</t>
        </is>
      </c>
      <c r="P112" s="36" t="inlineStr">
        <is>
          <t>2026-09-22</t>
        </is>
      </c>
    </row>
    <row r="113" ht="23.85" customHeight="1" s="37">
      <c r="A113" s="44" t="inlineStr">
        <is>
          <t>E3</t>
        </is>
      </c>
      <c r="B113" s="44" t="inlineStr">
        <is>
          <t>EPIC-E</t>
        </is>
      </c>
      <c r="C113" s="44" t="inlineStr">
        <is>
          <t>Story</t>
        </is>
      </c>
      <c r="D113" s="45" t="inlineStr">
        <is>
          <t>As an owner, editing an approved document creates a new draft while the approved version stays live.</t>
        </is>
      </c>
      <c r="E113" s="45" t="inlineStr">
        <is>
          <t>The most misunderstood behaviour in the product. Needs an on-screen banner.</t>
        </is>
      </c>
      <c r="F113" s="44" t="n"/>
      <c r="G113" s="44" t="inlineStr">
        <is>
          <t>EPIC-E</t>
        </is>
      </c>
      <c r="H113" s="46" t="inlineStr">
        <is>
          <t>High</t>
        </is>
      </c>
      <c r="I113" s="46" t="n">
        <v>8</v>
      </c>
      <c r="J113" s="46">
        <f>SUM(J114:J117)</f>
        <v/>
      </c>
      <c r="K113" s="44" t="n"/>
      <c r="L113" s="44" t="inlineStr">
        <is>
          <t>M2 Design partners</t>
        </is>
      </c>
      <c r="M113" s="44" t="inlineStr">
        <is>
          <t>p1,m2</t>
        </is>
      </c>
      <c r="N113" s="43" t="inlineStr">
        <is>
          <t>Done</t>
        </is>
      </c>
      <c r="O113" s="36" t="inlineStr">
        <is>
          <t>4/4 sub-tasks done</t>
        </is>
      </c>
      <c r="P113" s="36" t="inlineStr">
        <is>
          <t>2026-09-22</t>
        </is>
      </c>
    </row>
    <row r="114" ht="15" customHeight="1" s="37">
      <c r="A114" s="47" t="inlineStr">
        <is>
          <t>E3-T1</t>
        </is>
      </c>
      <c r="B114" s="47" t="inlineStr">
        <is>
          <t>E3</t>
        </is>
      </c>
      <c r="C114" s="47" t="inlineStr">
        <is>
          <t>Sub-task</t>
        </is>
      </c>
      <c r="D114" s="48" t="inlineStr">
        <is>
          <t>Trigger: edit after approval flips state to draft</t>
        </is>
      </c>
      <c r="E114" s="49" t="n"/>
      <c r="F114" s="47" t="n"/>
      <c r="G114" s="47" t="n"/>
      <c r="H114" s="50" t="inlineStr">
        <is>
          <t>High</t>
        </is>
      </c>
      <c r="I114" s="50" t="n"/>
      <c r="J114" s="50" t="n">
        <v>6</v>
      </c>
      <c r="K114" s="47" t="inlineStr">
        <is>
          <t>Database</t>
        </is>
      </c>
      <c r="L114" s="47" t="inlineStr">
        <is>
          <t>M2 Design partners</t>
        </is>
      </c>
      <c r="M114" s="47" t="inlineStr">
        <is>
          <t>database</t>
        </is>
      </c>
      <c r="N114" s="43" t="inlineStr">
        <is>
          <t>Done</t>
        </is>
      </c>
      <c r="P114" s="36" t="inlineStr">
        <is>
          <t>2026-09-22</t>
        </is>
      </c>
    </row>
    <row r="115" ht="15" customHeight="1" s="37">
      <c r="A115" s="47" t="inlineStr">
        <is>
          <t>E3-T2</t>
        </is>
      </c>
      <c r="B115" s="47" t="inlineStr">
        <is>
          <t>E3</t>
        </is>
      </c>
      <c r="C115" s="47" t="inlineStr">
        <is>
          <t>Sub-task</t>
        </is>
      </c>
      <c r="D115" s="48" t="inlineStr">
        <is>
          <t>Split working copy from approved version in API</t>
        </is>
      </c>
      <c r="E115" s="49" t="n"/>
      <c r="F115" s="47" t="n"/>
      <c r="G115" s="47" t="n"/>
      <c r="H115" s="50" t="inlineStr">
        <is>
          <t>High</t>
        </is>
      </c>
      <c r="I115" s="50" t="n"/>
      <c r="J115" s="50" t="n">
        <v>10</v>
      </c>
      <c r="K115" s="47" t="inlineStr">
        <is>
          <t>Backend</t>
        </is>
      </c>
      <c r="L115" s="47" t="inlineStr">
        <is>
          <t>M2 Design partners</t>
        </is>
      </c>
      <c r="M115" s="47" t="inlineStr">
        <is>
          <t>backend</t>
        </is>
      </c>
      <c r="N115" s="43" t="inlineStr">
        <is>
          <t>Done</t>
        </is>
      </c>
      <c r="O115" s="36" t="inlineStr">
        <is>
          <t>/published vs working copy</t>
        </is>
      </c>
      <c r="P115" s="36" t="inlineStr">
        <is>
          <t>2026-09-22</t>
        </is>
      </c>
    </row>
    <row r="116" ht="15" customHeight="1" s="37">
      <c r="A116" s="47" t="inlineStr">
        <is>
          <t>E3-T3</t>
        </is>
      </c>
      <c r="B116" s="47" t="inlineStr">
        <is>
          <t>E3</t>
        </is>
      </c>
      <c r="C116" s="47" t="inlineStr">
        <is>
          <t>Sub-task</t>
        </is>
      </c>
      <c r="D116" s="48" t="inlineStr">
        <is>
          <t>Editor banner explaining the live version (S8)</t>
        </is>
      </c>
      <c r="E116" s="49" t="n"/>
      <c r="F116" s="47" t="n"/>
      <c r="G116" s="47" t="n"/>
      <c r="H116" s="50" t="inlineStr">
        <is>
          <t>High</t>
        </is>
      </c>
      <c r="I116" s="50" t="n"/>
      <c r="J116" s="50" t="n">
        <v>5</v>
      </c>
      <c r="K116" s="47" t="inlineStr">
        <is>
          <t>Frontend</t>
        </is>
      </c>
      <c r="L116" s="47" t="inlineStr">
        <is>
          <t>M2 Design partners</t>
        </is>
      </c>
      <c r="M116" s="47" t="inlineStr">
        <is>
          <t>frontend</t>
        </is>
      </c>
      <c r="N116" s="43" t="inlineStr">
        <is>
          <t>Done</t>
        </is>
      </c>
      <c r="P116" s="36" t="inlineStr">
        <is>
          <t>2026-09-22</t>
        </is>
      </c>
    </row>
    <row r="117" ht="15" customHeight="1" s="37">
      <c r="A117" s="47" t="inlineStr">
        <is>
          <t>E3-T4</t>
        </is>
      </c>
      <c r="B117" s="47" t="inlineStr">
        <is>
          <t>E3</t>
        </is>
      </c>
      <c r="C117" s="47" t="inlineStr">
        <is>
          <t>Sub-task</t>
        </is>
      </c>
      <c r="D117" s="48" t="inlineStr">
        <is>
          <t>Draft-vs-live behaviour tests</t>
        </is>
      </c>
      <c r="E117" s="49" t="n"/>
      <c r="F117" s="47" t="n"/>
      <c r="G117" s="47" t="n"/>
      <c r="H117" s="50" t="inlineStr">
        <is>
          <t>High</t>
        </is>
      </c>
      <c r="I117" s="50" t="n"/>
      <c r="J117" s="50" t="n">
        <v>6</v>
      </c>
      <c r="K117" s="47" t="inlineStr">
        <is>
          <t>QA</t>
        </is>
      </c>
      <c r="L117" s="47" t="inlineStr">
        <is>
          <t>M2 Design partners</t>
        </is>
      </c>
      <c r="M117" s="47" t="inlineStr">
        <is>
          <t>qa</t>
        </is>
      </c>
      <c r="N117" s="43" t="inlineStr">
        <is>
          <t>Done</t>
        </is>
      </c>
      <c r="P117" s="36" t="inlineStr">
        <is>
          <t>2026-09-22</t>
        </is>
      </c>
    </row>
    <row r="118" ht="23.85" customHeight="1" s="37">
      <c r="A118" s="44" t="inlineStr">
        <is>
          <t>E4</t>
        </is>
      </c>
      <c r="B118" s="44" t="inlineStr">
        <is>
          <t>EPIC-E</t>
        </is>
      </c>
      <c r="C118" s="44" t="inlineStr">
        <is>
          <t>Story</t>
        </is>
      </c>
      <c r="D118" s="45" t="inlineStr">
        <is>
          <t>As an owner, I can see the full version history and a block-level diff between any two versions.</t>
        </is>
      </c>
      <c r="E118" s="45" t="inlineStr">
        <is>
          <t>Moved blocks marked as moved, not as a delete plus an add.</t>
        </is>
      </c>
      <c r="F118" s="44" t="n"/>
      <c r="G118" s="44" t="inlineStr">
        <is>
          <t>EPIC-E</t>
        </is>
      </c>
      <c r="H118" s="46" t="inlineStr">
        <is>
          <t>High</t>
        </is>
      </c>
      <c r="I118" s="46" t="n">
        <v>8</v>
      </c>
      <c r="J118" s="46">
        <f>SUM(J119:J121)</f>
        <v/>
      </c>
      <c r="K118" s="44" t="n"/>
      <c r="L118" s="44" t="inlineStr">
        <is>
          <t>M2 Design partners</t>
        </is>
      </c>
      <c r="M118" s="44" t="inlineStr">
        <is>
          <t>p1,m2</t>
        </is>
      </c>
      <c r="N118" s="43" t="inlineStr">
        <is>
          <t>Done</t>
        </is>
      </c>
      <c r="O118" s="36" t="inlineStr">
        <is>
          <t>3/3 sub-tasks done</t>
        </is>
      </c>
      <c r="P118" s="36" t="inlineStr">
        <is>
          <t>2026-09-22</t>
        </is>
      </c>
    </row>
    <row r="119" ht="15" customHeight="1" s="37">
      <c r="A119" s="47" t="inlineStr">
        <is>
          <t>E4-T1</t>
        </is>
      </c>
      <c r="B119" s="47" t="inlineStr">
        <is>
          <t>E4</t>
        </is>
      </c>
      <c r="C119" s="47" t="inlineStr">
        <is>
          <t>Sub-task</t>
        </is>
      </c>
      <c r="D119" s="48" t="inlineStr">
        <is>
          <t>document_versions schema and numbering trigger</t>
        </is>
      </c>
      <c r="E119" s="49" t="n"/>
      <c r="F119" s="47" t="n"/>
      <c r="G119" s="47" t="n"/>
      <c r="H119" s="50" t="inlineStr">
        <is>
          <t>High</t>
        </is>
      </c>
      <c r="I119" s="50" t="n"/>
      <c r="J119" s="50" t="n">
        <v>6</v>
      </c>
      <c r="K119" s="47" t="inlineStr">
        <is>
          <t>Database</t>
        </is>
      </c>
      <c r="L119" s="47" t="inlineStr">
        <is>
          <t>M2 Design partners</t>
        </is>
      </c>
      <c r="M119" s="47" t="inlineStr">
        <is>
          <t>database</t>
        </is>
      </c>
      <c r="N119" s="43" t="inlineStr">
        <is>
          <t>Done</t>
        </is>
      </c>
      <c r="O119" s="36" t="inlineStr">
        <is>
          <t>row lock + unique key instead of trigger</t>
        </is>
      </c>
      <c r="P119" s="36" t="inlineStr">
        <is>
          <t>2026-09-22</t>
        </is>
      </c>
    </row>
    <row r="120" ht="15" customHeight="1" s="37">
      <c r="A120" s="47" t="inlineStr">
        <is>
          <t>E4-T2</t>
        </is>
      </c>
      <c r="B120" s="47" t="inlineStr">
        <is>
          <t>E4</t>
        </is>
      </c>
      <c r="C120" s="47" t="inlineStr">
        <is>
          <t>Sub-task</t>
        </is>
      </c>
      <c r="D120" s="48" t="inlineStr">
        <is>
          <t>Block-level diff algorithm including move detection</t>
        </is>
      </c>
      <c r="E120" s="49" t="n"/>
      <c r="F120" s="47" t="n"/>
      <c r="G120" s="47" t="n"/>
      <c r="H120" s="50" t="inlineStr">
        <is>
          <t>High</t>
        </is>
      </c>
      <c r="I120" s="50" t="n"/>
      <c r="J120" s="50" t="n">
        <v>16</v>
      </c>
      <c r="K120" s="47" t="inlineStr">
        <is>
          <t>Backend</t>
        </is>
      </c>
      <c r="L120" s="47" t="inlineStr">
        <is>
          <t>M2 Design partners</t>
        </is>
      </c>
      <c r="M120" s="47" t="inlineStr">
        <is>
          <t>backend</t>
        </is>
      </c>
      <c r="N120" s="43" t="inlineStr">
        <is>
          <t>Done</t>
        </is>
      </c>
      <c r="O120" s="36" t="inlineStr">
        <is>
          <t>Diff with move detection</t>
        </is>
      </c>
      <c r="P120" s="36" t="inlineStr">
        <is>
          <t>2026-09-22</t>
        </is>
      </c>
    </row>
    <row r="121" ht="15" customHeight="1" s="37">
      <c r="A121" s="47" t="inlineStr">
        <is>
          <t>E4-T3</t>
        </is>
      </c>
      <c r="B121" s="47" t="inlineStr">
        <is>
          <t>E4</t>
        </is>
      </c>
      <c r="C121" s="47" t="inlineStr">
        <is>
          <t>Sub-task</t>
        </is>
      </c>
      <c r="D121" s="48" t="inlineStr">
        <is>
          <t>Version history and diff screen (S13)</t>
        </is>
      </c>
      <c r="E121" s="49" t="n"/>
      <c r="F121" s="47" t="n"/>
      <c r="G121" s="47" t="n"/>
      <c r="H121" s="50" t="inlineStr">
        <is>
          <t>High</t>
        </is>
      </c>
      <c r="I121" s="50" t="n"/>
      <c r="J121" s="50" t="n">
        <v>12</v>
      </c>
      <c r="K121" s="47" t="inlineStr">
        <is>
          <t>Frontend</t>
        </is>
      </c>
      <c r="L121" s="47" t="inlineStr">
        <is>
          <t>M2 Design partners</t>
        </is>
      </c>
      <c r="M121" s="47" t="inlineStr">
        <is>
          <t>frontend</t>
        </is>
      </c>
      <c r="N121" s="43" t="inlineStr">
        <is>
          <t>Done</t>
        </is>
      </c>
      <c r="O121" s="36" t="inlineStr">
        <is>
          <t>S13</t>
        </is>
      </c>
      <c r="P121" s="36" t="inlineStr">
        <is>
          <t>2026-09-22</t>
        </is>
      </c>
    </row>
    <row r="122" ht="15" customHeight="1" s="37">
      <c r="A122" s="44" t="inlineStr">
        <is>
          <t>E5</t>
        </is>
      </c>
      <c r="B122" s="44" t="inlineStr">
        <is>
          <t>EPIC-E</t>
        </is>
      </c>
      <c r="C122" s="44" t="inlineStr">
        <is>
          <t>Story</t>
        </is>
      </c>
      <c r="D122" s="45" t="inlineStr">
        <is>
          <t>As an owner, I can restore an old version as a new draft.</t>
        </is>
      </c>
      <c r="E122" s="45" t="inlineStr">
        <is>
          <t>Restore never overwrites the live approved version.</t>
        </is>
      </c>
      <c r="F122" s="44" t="n"/>
      <c r="G122" s="44" t="inlineStr">
        <is>
          <t>EPIC-E</t>
        </is>
      </c>
      <c r="H122" s="46" t="inlineStr">
        <is>
          <t>High</t>
        </is>
      </c>
      <c r="I122" s="46" t="n">
        <v>3</v>
      </c>
      <c r="J122" s="46">
        <f>SUM(J123:J124)</f>
        <v/>
      </c>
      <c r="K122" s="44" t="n"/>
      <c r="L122" s="44" t="inlineStr">
        <is>
          <t>M2 Design partners</t>
        </is>
      </c>
      <c r="M122" s="44" t="inlineStr">
        <is>
          <t>p1,m2</t>
        </is>
      </c>
      <c r="N122" s="43" t="inlineStr">
        <is>
          <t>Done</t>
        </is>
      </c>
      <c r="O122" s="36" t="inlineStr">
        <is>
          <t>2/2 sub-tasks done</t>
        </is>
      </c>
      <c r="P122" s="36" t="inlineStr">
        <is>
          <t>2026-09-22</t>
        </is>
      </c>
    </row>
    <row r="123" ht="15" customHeight="1" s="37">
      <c r="A123" s="47" t="inlineStr">
        <is>
          <t>E5-T1</t>
        </is>
      </c>
      <c r="B123" s="47" t="inlineStr">
        <is>
          <t>E5</t>
        </is>
      </c>
      <c r="C123" s="47" t="inlineStr">
        <is>
          <t>Sub-task</t>
        </is>
      </c>
      <c r="D123" s="48" t="inlineStr">
        <is>
          <t>Restore endpoint creating a draft</t>
        </is>
      </c>
      <c r="E123" s="49" t="n"/>
      <c r="F123" s="47" t="n"/>
      <c r="G123" s="47" t="n"/>
      <c r="H123" s="50" t="inlineStr">
        <is>
          <t>High</t>
        </is>
      </c>
      <c r="I123" s="50" t="n"/>
      <c r="J123" s="50" t="n">
        <v>4</v>
      </c>
      <c r="K123" s="47" t="inlineStr">
        <is>
          <t>Backend</t>
        </is>
      </c>
      <c r="L123" s="47" t="inlineStr">
        <is>
          <t>M2 Design partners</t>
        </is>
      </c>
      <c r="M123" s="47" t="inlineStr">
        <is>
          <t>backend</t>
        </is>
      </c>
      <c r="N123" s="43" t="inlineStr">
        <is>
          <t>Done</t>
        </is>
      </c>
      <c r="P123" s="36" t="inlineStr">
        <is>
          <t>2026-09-22</t>
        </is>
      </c>
    </row>
    <row r="124" ht="15" customHeight="1" s="37">
      <c r="A124" s="47" t="inlineStr">
        <is>
          <t>E5-T2</t>
        </is>
      </c>
      <c r="B124" s="47" t="inlineStr">
        <is>
          <t>E5</t>
        </is>
      </c>
      <c r="C124" s="47" t="inlineStr">
        <is>
          <t>Sub-task</t>
        </is>
      </c>
      <c r="D124" s="48" t="inlineStr">
        <is>
          <t>Restore confirmation stating the consequence</t>
        </is>
      </c>
      <c r="E124" s="49" t="n"/>
      <c r="F124" s="47" t="n"/>
      <c r="G124" s="47" t="n"/>
      <c r="H124" s="50" t="inlineStr">
        <is>
          <t>High</t>
        </is>
      </c>
      <c r="I124" s="50" t="n"/>
      <c r="J124" s="50" t="n">
        <v>3</v>
      </c>
      <c r="K124" s="47" t="inlineStr">
        <is>
          <t>Frontend</t>
        </is>
      </c>
      <c r="L124" s="47" t="inlineStr">
        <is>
          <t>M2 Design partners</t>
        </is>
      </c>
      <c r="M124" s="47" t="inlineStr">
        <is>
          <t>frontend</t>
        </is>
      </c>
      <c r="N124" s="43" t="inlineStr">
        <is>
          <t>Done</t>
        </is>
      </c>
      <c r="P124" s="36" t="inlineStr">
        <is>
          <t>2026-09-22</t>
        </is>
      </c>
    </row>
    <row r="125" ht="15" customHeight="1" s="37">
      <c r="A125" s="44" t="inlineStr">
        <is>
          <t>E6</t>
        </is>
      </c>
      <c r="B125" s="44" t="inlineStr">
        <is>
          <t>EPIC-E</t>
        </is>
      </c>
      <c r="C125" s="44" t="inlineStr">
        <is>
          <t>Story</t>
        </is>
      </c>
      <c r="D125" s="45" t="inlineStr">
        <is>
          <t>As an admin, every state change is written to an append-only audit log.</t>
        </is>
      </c>
      <c r="E125" s="45" t="inlineStr">
        <is>
          <t>Insert and select grants only. No update, no delete.</t>
        </is>
      </c>
      <c r="F125" s="44" t="n"/>
      <c r="G125" s="44" t="inlineStr">
        <is>
          <t>EPIC-E</t>
        </is>
      </c>
      <c r="H125" s="46" t="inlineStr">
        <is>
          <t>High</t>
        </is>
      </c>
      <c r="I125" s="46" t="n">
        <v>4</v>
      </c>
      <c r="J125" s="46">
        <f>SUM(J126:J128)</f>
        <v/>
      </c>
      <c r="K125" s="44" t="n"/>
      <c r="L125" s="44" t="inlineStr">
        <is>
          <t>M2 Design partners</t>
        </is>
      </c>
      <c r="M125" s="44" t="inlineStr">
        <is>
          <t>p1,m2</t>
        </is>
      </c>
      <c r="N125" s="43" t="inlineStr">
        <is>
          <t>Done</t>
        </is>
      </c>
      <c r="O125" s="36" t="inlineStr">
        <is>
          <t>3/3 sub-tasks done</t>
        </is>
      </c>
      <c r="P125" s="36" t="inlineStr">
        <is>
          <t>2026-09-22</t>
        </is>
      </c>
    </row>
    <row r="126" ht="15" customHeight="1" s="37">
      <c r="A126" s="47" t="inlineStr">
        <is>
          <t>E6-T1</t>
        </is>
      </c>
      <c r="B126" s="47" t="inlineStr">
        <is>
          <t>E6</t>
        </is>
      </c>
      <c r="C126" s="47" t="inlineStr">
        <is>
          <t>Sub-task</t>
        </is>
      </c>
      <c r="D126" s="48" t="inlineStr">
        <is>
          <t>audit_log table with append-only grants</t>
        </is>
      </c>
      <c r="E126" s="49" t="n"/>
      <c r="F126" s="47" t="n"/>
      <c r="G126" s="47" t="n"/>
      <c r="H126" s="50" t="inlineStr">
        <is>
          <t>High</t>
        </is>
      </c>
      <c r="I126" s="50" t="n"/>
      <c r="J126" s="50" t="n">
        <v>4</v>
      </c>
      <c r="K126" s="47" t="inlineStr">
        <is>
          <t>Database</t>
        </is>
      </c>
      <c r="L126" s="47" t="inlineStr">
        <is>
          <t>M2 Design partners</t>
        </is>
      </c>
      <c r="M126" s="47" t="inlineStr">
        <is>
          <t>database</t>
        </is>
      </c>
      <c r="N126" s="43" t="inlineStr">
        <is>
          <t>Done</t>
        </is>
      </c>
      <c r="O126" s="36" t="inlineStr">
        <is>
          <t>grant revocation is a DBA step (documented)</t>
        </is>
      </c>
      <c r="P126" s="36" t="inlineStr">
        <is>
          <t>2026-09-22</t>
        </is>
      </c>
    </row>
    <row r="127" ht="15" customHeight="1" s="37">
      <c r="A127" s="47" t="inlineStr">
        <is>
          <t>E6-T2</t>
        </is>
      </c>
      <c r="B127" s="47" t="inlineStr">
        <is>
          <t>E6</t>
        </is>
      </c>
      <c r="C127" s="47" t="inlineStr">
        <is>
          <t>Sub-task</t>
        </is>
      </c>
      <c r="D127" s="48" t="inlineStr">
        <is>
          <t>Audit write triggers for state and permission changes</t>
        </is>
      </c>
      <c r="E127" s="49" t="n"/>
      <c r="F127" s="47" t="n"/>
      <c r="G127" s="47" t="n"/>
      <c r="H127" s="50" t="inlineStr">
        <is>
          <t>High</t>
        </is>
      </c>
      <c r="I127" s="50" t="n"/>
      <c r="J127" s="50" t="n">
        <v>6</v>
      </c>
      <c r="K127" s="47" t="inlineStr">
        <is>
          <t>Backend</t>
        </is>
      </c>
      <c r="L127" s="47" t="inlineStr">
        <is>
          <t>M2 Design partners</t>
        </is>
      </c>
      <c r="M127" s="47" t="inlineStr">
        <is>
          <t>backend</t>
        </is>
      </c>
      <c r="N127" s="43" t="inlineStr">
        <is>
          <t>Done</t>
        </is>
      </c>
      <c r="O127" s="36" t="inlineStr">
        <is>
          <t>Audit::record at every state/permission change</t>
        </is>
      </c>
      <c r="P127" s="36" t="inlineStr">
        <is>
          <t>2026-09-22</t>
        </is>
      </c>
    </row>
    <row r="128" ht="15" customHeight="1" s="37">
      <c r="A128" s="47" t="inlineStr">
        <is>
          <t>E6-T3</t>
        </is>
      </c>
      <c r="B128" s="47" t="inlineStr">
        <is>
          <t>E6</t>
        </is>
      </c>
      <c r="C128" s="47" t="inlineStr">
        <is>
          <t>Sub-task</t>
        </is>
      </c>
      <c r="D128" s="48" t="inlineStr">
        <is>
          <t>Audit log screen with export (S21)</t>
        </is>
      </c>
      <c r="E128" s="49" t="n"/>
      <c r="F128" s="47" t="n"/>
      <c r="G128" s="47" t="n"/>
      <c r="H128" s="50" t="inlineStr">
        <is>
          <t>High</t>
        </is>
      </c>
      <c r="I128" s="50" t="n"/>
      <c r="J128" s="50" t="n">
        <v>6</v>
      </c>
      <c r="K128" s="47" t="inlineStr">
        <is>
          <t>Frontend</t>
        </is>
      </c>
      <c r="L128" s="47" t="inlineStr">
        <is>
          <t>M2 Design partners</t>
        </is>
      </c>
      <c r="M128" s="47" t="inlineStr">
        <is>
          <t>frontend</t>
        </is>
      </c>
      <c r="N128" s="43" t="inlineStr">
        <is>
          <t>Done</t>
        </is>
      </c>
      <c r="O128" s="36" t="inlineStr">
        <is>
          <t>S21; 3fb9d6c</t>
        </is>
      </c>
      <c r="P128" s="36" t="inlineStr">
        <is>
          <t>2026-09-22</t>
        </is>
      </c>
    </row>
    <row r="129" ht="15" customHeight="1" s="37">
      <c r="A129" s="40" t="inlineStr">
        <is>
          <t>EPIC-F</t>
        </is>
      </c>
      <c r="B129" s="40" t="n"/>
      <c r="C129" s="40" t="inlineStr">
        <is>
          <t>Epic</t>
        </is>
      </c>
      <c r="D129" s="41" t="inlineStr">
        <is>
          <t>F — Permissions</t>
        </is>
      </c>
      <c r="E129" s="41" t="inlineStr">
        <is>
          <t>Roles, folder overrides and immediate revocation.</t>
        </is>
      </c>
      <c r="F129" s="40" t="inlineStr">
        <is>
          <t>Permissions</t>
        </is>
      </c>
      <c r="G129" s="40" t="n"/>
      <c r="H129" s="42" t="n"/>
      <c r="I129" s="42">
        <f>SUMIFS(I$2:I$273,G$2:G$273,"EPIC-F",C$2:C$273,"Story")</f>
        <v/>
      </c>
      <c r="J129" s="42">
        <f>SUMIFS(J$2:J$273,G$2:G$273,"EPIC-F",C$2:C$273,"Story")</f>
        <v/>
      </c>
      <c r="K129" s="40" t="n"/>
      <c r="L129" s="40" t="n"/>
      <c r="M129" s="40" t="inlineStr">
        <is>
          <t>epic</t>
        </is>
      </c>
      <c r="N129" s="43" t="inlineStr">
        <is>
          <t>Done</t>
        </is>
      </c>
      <c r="O129" s="36" t="inlineStr">
        <is>
          <t>9/9 sub-tasks done, 3/3 stories done</t>
        </is>
      </c>
      <c r="P129" s="36" t="inlineStr">
        <is>
          <t>2026-09-22</t>
        </is>
      </c>
    </row>
    <row r="130" ht="23.85" customHeight="1" s="37">
      <c r="A130" s="44" t="inlineStr">
        <is>
          <t>F1</t>
        </is>
      </c>
      <c r="B130" s="44" t="inlineStr">
        <is>
          <t>EPIC-F</t>
        </is>
      </c>
      <c r="C130" s="44" t="inlineStr">
        <is>
          <t>Story</t>
        </is>
      </c>
      <c r="D130" s="45" t="inlineStr">
        <is>
          <t>As an admin, I can assign admin, approver, editor, reader and guest roles per space.</t>
        </is>
      </c>
      <c r="E130" s="45" t="inlineStr">
        <is>
          <t>Space is the primary permission boundary.</t>
        </is>
      </c>
      <c r="F130" s="44" t="n"/>
      <c r="G130" s="44" t="inlineStr">
        <is>
          <t>EPIC-F</t>
        </is>
      </c>
      <c r="H130" s="46" t="inlineStr">
        <is>
          <t>High</t>
        </is>
      </c>
      <c r="I130" s="46" t="n">
        <v>8</v>
      </c>
      <c r="J130" s="46">
        <f>SUM(J131:J134)</f>
        <v/>
      </c>
      <c r="K130" s="44" t="n"/>
      <c r="L130" s="44" t="inlineStr">
        <is>
          <t>M2 Design partners</t>
        </is>
      </c>
      <c r="M130" s="44" t="inlineStr">
        <is>
          <t>p1,m2</t>
        </is>
      </c>
      <c r="N130" s="43" t="inlineStr">
        <is>
          <t>Done</t>
        </is>
      </c>
      <c r="O130" s="36" t="inlineStr">
        <is>
          <t>4/4 sub-tasks done</t>
        </is>
      </c>
      <c r="P130" s="36" t="inlineStr">
        <is>
          <t>2026-09-22</t>
        </is>
      </c>
    </row>
    <row r="131" ht="15" customHeight="1" s="37">
      <c r="A131" s="47" t="inlineStr">
        <is>
          <t>F1-T1</t>
        </is>
      </c>
      <c r="B131" s="47" t="inlineStr">
        <is>
          <t>F1</t>
        </is>
      </c>
      <c r="C131" s="47" t="inlineStr">
        <is>
          <t>Sub-task</t>
        </is>
      </c>
      <c r="D131" s="48" t="inlineStr">
        <is>
          <t>space_members schema and role enum</t>
        </is>
      </c>
      <c r="E131" s="49" t="n"/>
      <c r="F131" s="47" t="n"/>
      <c r="G131" s="47" t="n"/>
      <c r="H131" s="50" t="inlineStr">
        <is>
          <t>High</t>
        </is>
      </c>
      <c r="I131" s="50" t="n"/>
      <c r="J131" s="50" t="n">
        <v>4</v>
      </c>
      <c r="K131" s="47" t="inlineStr">
        <is>
          <t>Database</t>
        </is>
      </c>
      <c r="L131" s="47" t="inlineStr">
        <is>
          <t>M2 Design partners</t>
        </is>
      </c>
      <c r="M131" s="47" t="inlineStr">
        <is>
          <t>database</t>
        </is>
      </c>
      <c r="N131" s="43" t="inlineStr">
        <is>
          <t>Done</t>
        </is>
      </c>
      <c r="P131" s="36" t="inlineStr">
        <is>
          <t>2026-09-22</t>
        </is>
      </c>
    </row>
    <row r="132" ht="15" customHeight="1" s="37">
      <c r="A132" s="47" t="inlineStr">
        <is>
          <t>F1-T2</t>
        </is>
      </c>
      <c r="B132" s="47" t="inlineStr">
        <is>
          <t>F1</t>
        </is>
      </c>
      <c r="C132" s="47" t="inlineStr">
        <is>
          <t>Sub-task</t>
        </is>
      </c>
      <c r="D132" s="48" t="inlineStr">
        <is>
          <t>Role assignment API with transition guards</t>
        </is>
      </c>
      <c r="E132" s="49" t="n"/>
      <c r="F132" s="47" t="n"/>
      <c r="G132" s="47" t="n"/>
      <c r="H132" s="50" t="inlineStr">
        <is>
          <t>High</t>
        </is>
      </c>
      <c r="I132" s="50" t="n"/>
      <c r="J132" s="50" t="n">
        <v>8</v>
      </c>
      <c r="K132" s="47" t="inlineStr">
        <is>
          <t>Backend</t>
        </is>
      </c>
      <c r="L132" s="47" t="inlineStr">
        <is>
          <t>M2 Design partners</t>
        </is>
      </c>
      <c r="M132" s="47" t="inlineStr">
        <is>
          <t>backend</t>
        </is>
      </c>
      <c r="N132" s="43" t="inlineStr">
        <is>
          <t>Done</t>
        </is>
      </c>
      <c r="O132" s="36" t="inlineStr">
        <is>
          <t>last-admin rule</t>
        </is>
      </c>
      <c r="P132" s="36" t="inlineStr">
        <is>
          <t>2026-09-22</t>
        </is>
      </c>
    </row>
    <row r="133" ht="15" customHeight="1" s="37">
      <c r="A133" s="47" t="inlineStr">
        <is>
          <t>F1-T3</t>
        </is>
      </c>
      <c r="B133" s="47" t="inlineStr">
        <is>
          <t>F1</t>
        </is>
      </c>
      <c r="C133" s="47" t="inlineStr">
        <is>
          <t>Sub-task</t>
        </is>
      </c>
      <c r="D133" s="48" t="inlineStr">
        <is>
          <t>Members and roles screen (S18)</t>
        </is>
      </c>
      <c r="E133" s="49" t="n"/>
      <c r="F133" s="47" t="n"/>
      <c r="G133" s="47" t="n"/>
      <c r="H133" s="50" t="inlineStr">
        <is>
          <t>High</t>
        </is>
      </c>
      <c r="I133" s="50" t="n"/>
      <c r="J133" s="50" t="n">
        <v>10</v>
      </c>
      <c r="K133" s="47" t="inlineStr">
        <is>
          <t>Frontend</t>
        </is>
      </c>
      <c r="L133" s="47" t="inlineStr">
        <is>
          <t>M2 Design partners</t>
        </is>
      </c>
      <c r="M133" s="47" t="inlineStr">
        <is>
          <t>frontend</t>
        </is>
      </c>
      <c r="N133" s="43" t="inlineStr">
        <is>
          <t>Done</t>
        </is>
      </c>
      <c r="O133" s="36" t="inlineStr">
        <is>
          <t>S18</t>
        </is>
      </c>
      <c r="P133" s="36" t="inlineStr">
        <is>
          <t>2026-09-22</t>
        </is>
      </c>
    </row>
    <row r="134" ht="15" customHeight="1" s="37">
      <c r="A134" s="47" t="inlineStr">
        <is>
          <t>F1-T4</t>
        </is>
      </c>
      <c r="B134" s="47" t="inlineStr">
        <is>
          <t>F1</t>
        </is>
      </c>
      <c r="C134" s="47" t="inlineStr">
        <is>
          <t>Sub-task</t>
        </is>
      </c>
      <c r="D134" s="48" t="inlineStr">
        <is>
          <t>Consequence-stating confirmation copy</t>
        </is>
      </c>
      <c r="E134" s="49" t="n"/>
      <c r="F134" s="47" t="n"/>
      <c r="G134" s="47" t="n"/>
      <c r="H134" s="50" t="inlineStr">
        <is>
          <t>High</t>
        </is>
      </c>
      <c r="I134" s="50" t="n"/>
      <c r="J134" s="50" t="n">
        <v>4</v>
      </c>
      <c r="K134" s="47" t="inlineStr">
        <is>
          <t>Design</t>
        </is>
      </c>
      <c r="L134" s="47" t="inlineStr">
        <is>
          <t>M2 Design partners</t>
        </is>
      </c>
      <c r="M134" s="47" t="inlineStr">
        <is>
          <t>design</t>
        </is>
      </c>
      <c r="N134" s="43" t="inlineStr">
        <is>
          <t>Done</t>
        </is>
      </c>
      <c r="P134" s="36" t="inlineStr">
        <is>
          <t>2026-09-22</t>
        </is>
      </c>
    </row>
    <row r="135" ht="23.85" customHeight="1" s="37">
      <c r="A135" s="44" t="inlineStr">
        <is>
          <t>F2</t>
        </is>
      </c>
      <c r="B135" s="44" t="inlineStr">
        <is>
          <t>EPIC-F</t>
        </is>
      </c>
      <c r="C135" s="44" t="inlineStr">
        <is>
          <t>Story</t>
        </is>
      </c>
      <c r="D135" s="45" t="inlineStr">
        <is>
          <t>As an admin, I can override permissions at folder level and inspect the effective result per user.</t>
        </is>
      </c>
      <c r="E135" s="45" t="inlineStr">
        <is>
          <t>Permission bugs are comprehension failures; the inspector is the fix.</t>
        </is>
      </c>
      <c r="F135" s="44" t="n"/>
      <c r="G135" s="44" t="inlineStr">
        <is>
          <t>EPIC-F</t>
        </is>
      </c>
      <c r="H135" s="46" t="inlineStr">
        <is>
          <t>High</t>
        </is>
      </c>
      <c r="I135" s="46" t="n">
        <v>8</v>
      </c>
      <c r="J135" s="46">
        <f>SUM(J136:J138)</f>
        <v/>
      </c>
      <c r="K135" s="44" t="n"/>
      <c r="L135" s="44" t="inlineStr">
        <is>
          <t>M2 Design partners</t>
        </is>
      </c>
      <c r="M135" s="44" t="inlineStr">
        <is>
          <t>p1,m2</t>
        </is>
      </c>
      <c r="N135" s="43" t="inlineStr">
        <is>
          <t>Done</t>
        </is>
      </c>
      <c r="O135" s="36" t="inlineStr">
        <is>
          <t>3/3 sub-tasks done</t>
        </is>
      </c>
      <c r="P135" s="36" t="inlineStr">
        <is>
          <t>2026-09-22</t>
        </is>
      </c>
    </row>
    <row r="136" ht="15" customHeight="1" s="37">
      <c r="A136" s="47" t="inlineStr">
        <is>
          <t>F2-T1</t>
        </is>
      </c>
      <c r="B136" s="47" t="inlineStr">
        <is>
          <t>F2</t>
        </is>
      </c>
      <c r="C136" s="47" t="inlineStr">
        <is>
          <t>Sub-task</t>
        </is>
      </c>
      <c r="D136" s="48" t="inlineStr">
        <is>
          <t>Folder override model and resolution logic</t>
        </is>
      </c>
      <c r="E136" s="49" t="n"/>
      <c r="F136" s="47" t="n"/>
      <c r="G136" s="47" t="n"/>
      <c r="H136" s="50" t="inlineStr">
        <is>
          <t>High</t>
        </is>
      </c>
      <c r="I136" s="50" t="n"/>
      <c r="J136" s="50" t="n">
        <v>12</v>
      </c>
      <c r="K136" s="47" t="inlineStr">
        <is>
          <t>Backend</t>
        </is>
      </c>
      <c r="L136" s="47" t="inlineStr">
        <is>
          <t>M2 Design partners</t>
        </is>
      </c>
      <c r="M136" s="47" t="inlineStr">
        <is>
          <t>backend</t>
        </is>
      </c>
      <c r="N136" s="43" t="inlineStr">
        <is>
          <t>Done</t>
        </is>
      </c>
      <c r="O136" s="36" t="inlineStr">
        <is>
          <t>folder_permissions + Access::resolve</t>
        </is>
      </c>
      <c r="P136" s="36" t="inlineStr">
        <is>
          <t>2026-09-22</t>
        </is>
      </c>
    </row>
    <row r="137" ht="15" customHeight="1" s="37">
      <c r="A137" s="47" t="inlineStr">
        <is>
          <t>F2-T2</t>
        </is>
      </c>
      <c r="B137" s="47" t="inlineStr">
        <is>
          <t>F2</t>
        </is>
      </c>
      <c r="C137" s="47" t="inlineStr">
        <is>
          <t>Sub-task</t>
        </is>
      </c>
      <c r="D137" s="48" t="inlineStr">
        <is>
          <t>Effective permission inspector (S19)</t>
        </is>
      </c>
      <c r="E137" s="49" t="n"/>
      <c r="F137" s="47" t="n"/>
      <c r="G137" s="47" t="n"/>
      <c r="H137" s="50" t="inlineStr">
        <is>
          <t>High</t>
        </is>
      </c>
      <c r="I137" s="50" t="n"/>
      <c r="J137" s="50" t="n">
        <v>12</v>
      </c>
      <c r="K137" s="47" t="inlineStr">
        <is>
          <t>Frontend</t>
        </is>
      </c>
      <c r="L137" s="47" t="inlineStr">
        <is>
          <t>M2 Design partners</t>
        </is>
      </c>
      <c r="M137" s="47" t="inlineStr">
        <is>
          <t>frontend</t>
        </is>
      </c>
      <c r="N137" s="43" t="inlineStr">
        <is>
          <t>Done</t>
        </is>
      </c>
      <c r="O137" s="36" t="inlineStr">
        <is>
          <t>S19 inspector with chain</t>
        </is>
      </c>
      <c r="P137" s="36" t="inlineStr">
        <is>
          <t>2026-09-22</t>
        </is>
      </c>
    </row>
    <row r="138" ht="15" customHeight="1" s="37">
      <c r="A138" s="47" t="inlineStr">
        <is>
          <t>F2-T3</t>
        </is>
      </c>
      <c r="B138" s="47" t="inlineStr">
        <is>
          <t>F2</t>
        </is>
      </c>
      <c r="C138" s="47" t="inlineStr">
        <is>
          <t>Sub-task</t>
        </is>
      </c>
      <c r="D138" s="48" t="inlineStr">
        <is>
          <t>Resolution correctness test matrix</t>
        </is>
      </c>
      <c r="E138" s="49" t="n"/>
      <c r="F138" s="47" t="n"/>
      <c r="G138" s="47" t="n"/>
      <c r="H138" s="50" t="inlineStr">
        <is>
          <t>High</t>
        </is>
      </c>
      <c r="I138" s="50" t="n"/>
      <c r="J138" s="50" t="n">
        <v>6</v>
      </c>
      <c r="K138" s="47" t="inlineStr">
        <is>
          <t>QA</t>
        </is>
      </c>
      <c r="L138" s="47" t="inlineStr">
        <is>
          <t>M2 Design partners</t>
        </is>
      </c>
      <c r="M138" s="47" t="inlineStr">
        <is>
          <t>qa</t>
        </is>
      </c>
      <c r="N138" s="43" t="inlineStr">
        <is>
          <t>Done</t>
        </is>
      </c>
      <c r="O138" s="36" t="inlineStr">
        <is>
          <t>FolderPermissionTest</t>
        </is>
      </c>
      <c r="P138" s="36" t="inlineStr">
        <is>
          <t>2026-09-22</t>
        </is>
      </c>
    </row>
    <row r="139" ht="23.85" customHeight="1" s="37">
      <c r="A139" s="44" t="inlineStr">
        <is>
          <t>F3</t>
        </is>
      </c>
      <c r="B139" s="44" t="inlineStr">
        <is>
          <t>EPIC-F</t>
        </is>
      </c>
      <c r="C139" s="44" t="inlineStr">
        <is>
          <t>Story</t>
        </is>
      </c>
      <c r="D139" s="45" t="inlineStr">
        <is>
          <t>As an admin, removing someone's access immediately removes those documents from their search and chat.</t>
        </is>
      </c>
      <c r="E139" s="45" t="inlineStr">
        <is>
          <t>No cache window in which a removed user still gets answers.</t>
        </is>
      </c>
      <c r="F139" s="44" t="n"/>
      <c r="G139" s="44" t="inlineStr">
        <is>
          <t>EPIC-F</t>
        </is>
      </c>
      <c r="H139" s="46" t="inlineStr">
        <is>
          <t>High</t>
        </is>
      </c>
      <c r="I139" s="46" t="n">
        <v>5</v>
      </c>
      <c r="J139" s="46">
        <f>SUM(J140:J141)</f>
        <v/>
      </c>
      <c r="K139" s="44" t="n"/>
      <c r="L139" s="44" t="inlineStr">
        <is>
          <t>M2 Design partners</t>
        </is>
      </c>
      <c r="M139" s="44" t="inlineStr">
        <is>
          <t>p1,m2</t>
        </is>
      </c>
      <c r="N139" s="43" t="inlineStr">
        <is>
          <t>Done</t>
        </is>
      </c>
      <c r="O139" s="36" t="inlineStr">
        <is>
          <t>2/2 sub-tasks done</t>
        </is>
      </c>
      <c r="P139" s="36" t="inlineStr">
        <is>
          <t>2026-09-22</t>
        </is>
      </c>
    </row>
    <row r="140" ht="15" customHeight="1" s="37">
      <c r="A140" s="47" t="inlineStr">
        <is>
          <t>F3-T1</t>
        </is>
      </c>
      <c r="B140" s="47" t="inlineStr">
        <is>
          <t>F3</t>
        </is>
      </c>
      <c r="C140" s="47" t="inlineStr">
        <is>
          <t>Sub-task</t>
        </is>
      </c>
      <c r="D140" s="48" t="inlineStr">
        <is>
          <t>Synchronous retrieval-scope update on membership change</t>
        </is>
      </c>
      <c r="E140" s="49" t="n"/>
      <c r="F140" s="47" t="n"/>
      <c r="G140" s="47" t="n"/>
      <c r="H140" s="50" t="inlineStr">
        <is>
          <t>High</t>
        </is>
      </c>
      <c r="I140" s="50" t="n"/>
      <c r="J140" s="50" t="n">
        <v>8</v>
      </c>
      <c r="K140" s="47" t="inlineStr">
        <is>
          <t>Backend</t>
        </is>
      </c>
      <c r="L140" s="47" t="inlineStr">
        <is>
          <t>M2 Design partners</t>
        </is>
      </c>
      <c r="M140" s="47" t="inlineStr">
        <is>
          <t>backend</t>
        </is>
      </c>
      <c r="N140" s="43" t="inlineStr">
        <is>
          <t>Done</t>
        </is>
      </c>
      <c r="O140" s="36" t="inlineStr">
        <is>
          <t>scope built per query from live membership</t>
        </is>
      </c>
      <c r="P140" s="36" t="inlineStr">
        <is>
          <t>2026-09-22</t>
        </is>
      </c>
    </row>
    <row r="141" ht="15" customHeight="1" s="37">
      <c r="A141" s="47" t="inlineStr">
        <is>
          <t>F3-T2</t>
        </is>
      </c>
      <c r="B141" s="47" t="inlineStr">
        <is>
          <t>F3</t>
        </is>
      </c>
      <c r="C141" s="47" t="inlineStr">
        <is>
          <t>Sub-task</t>
        </is>
      </c>
      <c r="D141" s="48" t="inlineStr">
        <is>
          <t>No-cache-window revocation verification test</t>
        </is>
      </c>
      <c r="E141" s="49" t="n"/>
      <c r="F141" s="47" t="n"/>
      <c r="G141" s="47" t="n"/>
      <c r="H141" s="50" t="inlineStr">
        <is>
          <t>High</t>
        </is>
      </c>
      <c r="I141" s="50" t="n"/>
      <c r="J141" s="50" t="n">
        <v>6</v>
      </c>
      <c r="K141" s="47" t="inlineStr">
        <is>
          <t>QA</t>
        </is>
      </c>
      <c r="L141" s="47" t="inlineStr">
        <is>
          <t>M2 Design partners</t>
        </is>
      </c>
      <c r="M141" s="47" t="inlineStr">
        <is>
          <t>qa</t>
        </is>
      </c>
      <c r="N141" s="43" t="inlineStr">
        <is>
          <t>Done</t>
        </is>
      </c>
      <c r="O141" s="36" t="inlineStr">
        <is>
          <t>RetrievalTest</t>
        </is>
      </c>
      <c r="P141" s="36" t="inlineStr">
        <is>
          <t>2026-09-22</t>
        </is>
      </c>
    </row>
    <row r="142" ht="23.85" customHeight="1" s="37">
      <c r="A142" s="40" t="inlineStr">
        <is>
          <t>EPIC-G</t>
        </is>
      </c>
      <c r="B142" s="40" t="n"/>
      <c r="C142" s="40" t="inlineStr">
        <is>
          <t>Epic</t>
        </is>
      </c>
      <c r="D142" s="41" t="inlineStr">
        <is>
          <t>G — Search &amp; retrieval</t>
        </is>
      </c>
      <c r="E142" s="41" t="inlineStr">
        <is>
          <t>Provider selection, chunking, embedding, hybrid ranking and in-query permission filtering.</t>
        </is>
      </c>
      <c r="F142" s="40" t="inlineStr">
        <is>
          <t>Search &amp; retrieval</t>
        </is>
      </c>
      <c r="G142" s="40" t="n"/>
      <c r="H142" s="42" t="n"/>
      <c r="I142" s="42">
        <f>SUMIFS(I$2:I$273,G$2:G$273,"EPIC-G",C$2:C$273,"Story")</f>
        <v/>
      </c>
      <c r="J142" s="42">
        <f>SUMIFS(J$2:J$273,G$2:G$273,"EPIC-G",C$2:C$273,"Story")</f>
        <v/>
      </c>
      <c r="K142" s="40" t="n"/>
      <c r="L142" s="40" t="n"/>
      <c r="M142" s="40" t="inlineStr">
        <is>
          <t>epic</t>
        </is>
      </c>
      <c r="N142" s="51" t="inlineStr">
        <is>
          <t>In Progress</t>
        </is>
      </c>
      <c r="O142" s="36" t="inlineStr">
        <is>
          <t>16/19 sub-tasks done, 3/6 stories done; the rest need the DO droplet and design-partner content</t>
        </is>
      </c>
      <c r="P142" s="36" t="inlineStr">
        <is>
          <t>2026-09-23</t>
        </is>
      </c>
    </row>
    <row r="143" ht="23.85" customHeight="1" s="37">
      <c r="A143" s="44" t="inlineStr">
        <is>
          <t>G0</t>
        </is>
      </c>
      <c r="B143" s="44" t="inlineStr">
        <is>
          <t>EPIC-G</t>
        </is>
      </c>
      <c r="C143" s="44" t="inlineStr">
        <is>
          <t>Story</t>
        </is>
      </c>
      <c r="D143" s="45" t="inlineStr">
        <is>
          <t>As a team, we've chosen an embeddings provider and a vector store, and proven them on real content.</t>
        </is>
      </c>
      <c r="E143" s="45" t="inlineStr">
        <is>
          <t>Claude has no embeddings endpoint and MySQL 8.4 has no VECTOR type. Both are open decisions.</t>
        </is>
      </c>
      <c r="F143" s="44" t="n"/>
      <c r="G143" s="44" t="inlineStr">
        <is>
          <t>EPIC-G</t>
        </is>
      </c>
      <c r="H143" s="46" t="inlineStr">
        <is>
          <t>High</t>
        </is>
      </c>
      <c r="I143" s="46" t="n">
        <v>5</v>
      </c>
      <c r="J143" s="46">
        <f>SUM(J144:J146)</f>
        <v/>
      </c>
      <c r="K143" s="44" t="n"/>
      <c r="L143" s="44" t="inlineStr">
        <is>
          <t>M3 Retrieval layer</t>
        </is>
      </c>
      <c r="M143" s="44" t="inlineStr">
        <is>
          <t>p1,m3</t>
        </is>
      </c>
      <c r="N143" s="51" t="inlineStr">
        <is>
          <t>In Progress</t>
        </is>
      </c>
      <c r="O143" s="36" t="inlineStr">
        <is>
          <t>2/3 sub-tasks done</t>
        </is>
      </c>
      <c r="P143" s="36" t="inlineStr">
        <is>
          <t>2026-09-23</t>
        </is>
      </c>
    </row>
    <row r="144" ht="15" customHeight="1" s="37">
      <c r="A144" s="47" t="inlineStr">
        <is>
          <t>G0-T1</t>
        </is>
      </c>
      <c r="B144" s="47" t="inlineStr">
        <is>
          <t>G0</t>
        </is>
      </c>
      <c r="C144" s="47" t="inlineStr">
        <is>
          <t>Sub-task</t>
        </is>
      </c>
      <c r="D144" s="48" t="inlineStr">
        <is>
          <t>Benchmark Voyage AI and OpenAI embeddings on the retrieval eval set</t>
        </is>
      </c>
      <c r="E144" s="49" t="n"/>
      <c r="F144" s="47" t="n"/>
      <c r="G144" s="47" t="n"/>
      <c r="H144" s="50" t="inlineStr">
        <is>
          <t>High</t>
        </is>
      </c>
      <c r="I144" s="50" t="n"/>
      <c r="J144" s="50" t="n">
        <v>10</v>
      </c>
      <c r="K144" s="47" t="inlineStr">
        <is>
          <t>AI/Pipeline</t>
        </is>
      </c>
      <c r="L144" s="47" t="inlineStr">
        <is>
          <t>M3 Retrieval layer</t>
        </is>
      </c>
      <c r="M144" s="47" t="inlineStr">
        <is>
          <t>ai-pipeline</t>
        </is>
      </c>
      <c r="N144" s="43" t="inlineStr">
        <is>
          <t>Done</t>
        </is>
      </c>
      <c r="O144" s="36" t="inlineStr">
        <is>
          <t>decided without benchmark: OpenAI text-embedding-3-small (user decision 21 Sep)</t>
        </is>
      </c>
      <c r="P144" s="36" t="inlineStr">
        <is>
          <t>2026-09-22</t>
        </is>
      </c>
    </row>
    <row r="145" ht="15" customHeight="1" s="37">
      <c r="A145" s="47" t="inlineStr">
        <is>
          <t>G0-T2</t>
        </is>
      </c>
      <c r="B145" s="47" t="inlineStr">
        <is>
          <t>G0</t>
        </is>
      </c>
      <c r="C145" s="47" t="inlineStr">
        <is>
          <t>Sub-task</t>
        </is>
      </c>
      <c r="D145" s="48" t="inlineStr">
        <is>
          <t>Stand up Qdrant on DigitalOcean and compare against managed Pinecone</t>
        </is>
      </c>
      <c r="E145" s="49" t="n"/>
      <c r="F145" s="47" t="n"/>
      <c r="G145" s="47" t="n"/>
      <c r="H145" s="50" t="inlineStr">
        <is>
          <t>High</t>
        </is>
      </c>
      <c r="I145" s="50" t="n"/>
      <c r="J145" s="50" t="n">
        <v>8</v>
      </c>
      <c r="K145" s="47" t="inlineStr">
        <is>
          <t>Infra</t>
        </is>
      </c>
      <c r="L145" s="47" t="inlineStr">
        <is>
          <t>M3 Retrieval layer</t>
        </is>
      </c>
      <c r="M145" s="47" t="inlineStr">
        <is>
          <t>infra</t>
        </is>
      </c>
      <c r="N145" s="53" t="inlineStr">
        <is>
          <t>Blocked</t>
        </is>
      </c>
      <c r="O145" s="36" t="inlineStr">
        <is>
          <t>done: infra/qdrant (compose, Caddy TLS, backups, cloud-init, runbook) + QdrantStore integration test vs real Qdrant 1.19.1 in CI; Pinecone comparison superseded by the 21 Sep decision. Needs: droplet created in the DO account</t>
        </is>
      </c>
      <c r="P145" s="36" t="inlineStr">
        <is>
          <t>2026-09-23</t>
        </is>
      </c>
    </row>
    <row r="146" ht="23.85" customHeight="1" s="37">
      <c r="A146" s="47" t="inlineStr">
        <is>
          <t>G0-T3</t>
        </is>
      </c>
      <c r="B146" s="47" t="inlineStr">
        <is>
          <t>G0</t>
        </is>
      </c>
      <c r="C146" s="47" t="inlineStr">
        <is>
          <t>Sub-task</t>
        </is>
      </c>
      <c r="D146" s="48" t="inlineStr">
        <is>
          <t>Record embed_model per chunk so a provider change is a targetable re-embed</t>
        </is>
      </c>
      <c r="E146" s="49" t="n"/>
      <c r="F146" s="47" t="n"/>
      <c r="G146" s="47" t="n"/>
      <c r="H146" s="50" t="inlineStr">
        <is>
          <t>High</t>
        </is>
      </c>
      <c r="I146" s="50" t="n"/>
      <c r="J146" s="50" t="n">
        <v>3</v>
      </c>
      <c r="K146" s="47" t="inlineStr">
        <is>
          <t>Backend</t>
        </is>
      </c>
      <c r="L146" s="47" t="inlineStr">
        <is>
          <t>M3 Retrieval layer</t>
        </is>
      </c>
      <c r="M146" s="47" t="inlineStr">
        <is>
          <t>backend</t>
        </is>
      </c>
      <c r="N146" s="43" t="inlineStr">
        <is>
          <t>Done</t>
        </is>
      </c>
      <c r="O146" s="36" t="inlineStr">
        <is>
          <t>embed_model on document_chunks</t>
        </is>
      </c>
      <c r="P146" s="36" t="inlineStr">
        <is>
          <t>2026-09-22</t>
        </is>
      </c>
    </row>
    <row r="147" ht="23.85" customHeight="1" s="37">
      <c r="A147" s="44" t="inlineStr">
        <is>
          <t>G1</t>
        </is>
      </c>
      <c r="B147" s="44" t="inlineStr">
        <is>
          <t>EPIC-G</t>
        </is>
      </c>
      <c r="C147" s="44" t="inlineStr">
        <is>
          <t>Story</t>
        </is>
      </c>
      <c r="D147" s="45" t="inlineStr">
        <is>
          <t>As a system, I chunk approved documents by step and section and embed them on approval.</t>
        </is>
      </c>
      <c r="E147" s="45" t="inlineStr">
        <is>
          <t>Chunking on semantic boundaries, not fixed token windows. Runs on approval only.</t>
        </is>
      </c>
      <c r="F147" s="44" t="n"/>
      <c r="G147" s="44" t="inlineStr">
        <is>
          <t>EPIC-G</t>
        </is>
      </c>
      <c r="H147" s="46" t="inlineStr">
        <is>
          <t>High</t>
        </is>
      </c>
      <c r="I147" s="46" t="n">
        <v>13</v>
      </c>
      <c r="J147" s="46">
        <f>SUM(J148:J152)</f>
        <v/>
      </c>
      <c r="K147" s="44" t="n"/>
      <c r="L147" s="44" t="inlineStr">
        <is>
          <t>M3 Retrieval layer</t>
        </is>
      </c>
      <c r="M147" s="44" t="inlineStr">
        <is>
          <t>p1,m3</t>
        </is>
      </c>
      <c r="N147" s="43" t="inlineStr">
        <is>
          <t>Done</t>
        </is>
      </c>
      <c r="O147" s="36" t="inlineStr">
        <is>
          <t>5/5 sub-tasks done</t>
        </is>
      </c>
      <c r="P147" s="36" t="inlineStr">
        <is>
          <t>2026-09-23</t>
        </is>
      </c>
    </row>
    <row r="148" ht="15" customHeight="1" s="37">
      <c r="A148" s="47" t="inlineStr">
        <is>
          <t>G1-T1</t>
        </is>
      </c>
      <c r="B148" s="47" t="inlineStr">
        <is>
          <t>G1</t>
        </is>
      </c>
      <c r="C148" s="47" t="inlineStr">
        <is>
          <t>Sub-task</t>
        </is>
      </c>
      <c r="D148" s="48" t="inlineStr">
        <is>
          <t>Semantic chunking by step and section</t>
        </is>
      </c>
      <c r="E148" s="49" t="n"/>
      <c r="F148" s="47" t="n"/>
      <c r="G148" s="47" t="n"/>
      <c r="H148" s="50" t="inlineStr">
        <is>
          <t>High</t>
        </is>
      </c>
      <c r="I148" s="50" t="n"/>
      <c r="J148" s="50" t="n">
        <v>12</v>
      </c>
      <c r="K148" s="47" t="inlineStr">
        <is>
          <t>AI/Pipeline</t>
        </is>
      </c>
      <c r="L148" s="47" t="inlineStr">
        <is>
          <t>M3 Retrieval layer</t>
        </is>
      </c>
      <c r="M148" s="47" t="inlineStr">
        <is>
          <t>ai-pipeline</t>
        </is>
      </c>
      <c r="N148" s="43" t="inlineStr">
        <is>
          <t>Done</t>
        </is>
      </c>
      <c r="O148" s="36" t="inlineStr">
        <is>
          <t>Chunker</t>
        </is>
      </c>
      <c r="P148" s="36" t="inlineStr">
        <is>
          <t>2026-09-22</t>
        </is>
      </c>
    </row>
    <row r="149" ht="15" customHeight="1" s="37">
      <c r="A149" s="47" t="inlineStr">
        <is>
          <t>G1-T2</t>
        </is>
      </c>
      <c r="B149" s="47" t="inlineStr">
        <is>
          <t>G1</t>
        </is>
      </c>
      <c r="C149" s="47" t="inlineStr">
        <is>
          <t>Sub-task</t>
        </is>
      </c>
      <c r="D149" s="48" t="inlineStr">
        <is>
          <t>document_chunks schema with section_ref</t>
        </is>
      </c>
      <c r="E149" s="49" t="n"/>
      <c r="F149" s="47" t="n"/>
      <c r="G149" s="47" t="n"/>
      <c r="H149" s="50" t="inlineStr">
        <is>
          <t>High</t>
        </is>
      </c>
      <c r="I149" s="50" t="n"/>
      <c r="J149" s="50" t="n">
        <v>5</v>
      </c>
      <c r="K149" s="47" t="inlineStr">
        <is>
          <t>Database</t>
        </is>
      </c>
      <c r="L149" s="47" t="inlineStr">
        <is>
          <t>M3 Retrieval layer</t>
        </is>
      </c>
      <c r="M149" s="47" t="inlineStr">
        <is>
          <t>database</t>
        </is>
      </c>
      <c r="N149" s="43" t="inlineStr">
        <is>
          <t>Done</t>
        </is>
      </c>
      <c r="P149" s="36" t="inlineStr">
        <is>
          <t>2026-09-22</t>
        </is>
      </c>
    </row>
    <row r="150" ht="15" customHeight="1" s="37">
      <c r="A150" s="47" t="inlineStr">
        <is>
          <t>G1-T3</t>
        </is>
      </c>
      <c r="B150" s="47" t="inlineStr">
        <is>
          <t>G1</t>
        </is>
      </c>
      <c r="C150" s="47" t="inlineStr">
        <is>
          <t>Sub-task</t>
        </is>
      </c>
      <c r="D150" s="48" t="inlineStr">
        <is>
          <t>Embedding job and vector upsert on approval</t>
        </is>
      </c>
      <c r="E150" s="49" t="n"/>
      <c r="F150" s="47" t="n"/>
      <c r="G150" s="47" t="n"/>
      <c r="H150" s="50" t="inlineStr">
        <is>
          <t>High</t>
        </is>
      </c>
      <c r="I150" s="50" t="n"/>
      <c r="J150" s="50" t="n">
        <v>10</v>
      </c>
      <c r="K150" s="47" t="inlineStr">
        <is>
          <t>AI/Pipeline</t>
        </is>
      </c>
      <c r="L150" s="47" t="inlineStr">
        <is>
          <t>M3 Retrieval layer</t>
        </is>
      </c>
      <c r="M150" s="47" t="inlineStr">
        <is>
          <t>ai-pipeline</t>
        </is>
      </c>
      <c r="N150" s="43" t="inlineStr">
        <is>
          <t>Done</t>
        </is>
      </c>
      <c r="O150" s="36" t="inlineStr">
        <is>
          <t>IndexDocument on approval</t>
        </is>
      </c>
      <c r="P150" s="36" t="inlineStr">
        <is>
          <t>2026-09-22</t>
        </is>
      </c>
    </row>
    <row r="151" ht="15" customHeight="1" s="37">
      <c r="A151" s="47" t="inlineStr">
        <is>
          <t>G1-T4</t>
        </is>
      </c>
      <c r="B151" s="47" t="inlineStr">
        <is>
          <t>G1</t>
        </is>
      </c>
      <c r="C151" s="47" t="inlineStr">
        <is>
          <t>Sub-task</t>
        </is>
      </c>
      <c r="D151" s="48" t="inlineStr">
        <is>
          <t>Vector store adapter (Pinecone or Qdrant)</t>
        </is>
      </c>
      <c r="E151" s="49" t="n"/>
      <c r="F151" s="47" t="n"/>
      <c r="G151" s="47" t="n"/>
      <c r="H151" s="50" t="inlineStr">
        <is>
          <t>High</t>
        </is>
      </c>
      <c r="I151" s="50" t="n"/>
      <c r="J151" s="50" t="n">
        <v>10</v>
      </c>
      <c r="K151" s="47" t="inlineStr">
        <is>
          <t>AI/Pipeline</t>
        </is>
      </c>
      <c r="L151" s="47" t="inlineStr">
        <is>
          <t>M3 Retrieval layer</t>
        </is>
      </c>
      <c r="M151" s="47" t="inlineStr">
        <is>
          <t>ai-pipeline</t>
        </is>
      </c>
      <c r="N151" s="43" t="inlineStr">
        <is>
          <t>Done</t>
        </is>
      </c>
      <c r="O151" s="36" t="inlineStr">
        <is>
          <t>QdrantStore + FakeVectorStore</t>
        </is>
      </c>
      <c r="P151" s="36" t="inlineStr">
        <is>
          <t>2026-09-22</t>
        </is>
      </c>
    </row>
    <row r="152" ht="15" customHeight="1" s="37">
      <c r="A152" s="47" t="inlineStr">
        <is>
          <t>G1-T5</t>
        </is>
      </c>
      <c r="B152" s="47" t="inlineStr">
        <is>
          <t>G1</t>
        </is>
      </c>
      <c r="C152" s="47" t="inlineStr">
        <is>
          <t>Sub-task</t>
        </is>
      </c>
      <c r="D152" s="48" t="inlineStr">
        <is>
          <t>Unindexed-approved-document monitor and alert</t>
        </is>
      </c>
      <c r="E152" s="49" t="n"/>
      <c r="F152" s="47" t="n"/>
      <c r="G152" s="47" t="n"/>
      <c r="H152" s="50" t="inlineStr">
        <is>
          <t>High</t>
        </is>
      </c>
      <c r="I152" s="50" t="n"/>
      <c r="J152" s="50" t="n">
        <v>6</v>
      </c>
      <c r="K152" s="47" t="inlineStr">
        <is>
          <t>Infra</t>
        </is>
      </c>
      <c r="L152" s="47" t="inlineStr">
        <is>
          <t>M3 Retrieval layer</t>
        </is>
      </c>
      <c r="M152" s="47" t="inlineStr">
        <is>
          <t>infra</t>
        </is>
      </c>
      <c r="N152" s="43" t="inlineStr">
        <is>
          <t>Done</t>
        </is>
      </c>
      <c r="O152" s="36" t="inlineStr">
        <is>
          <t>retrieval:check-index every 10 min: re-queues, alerts (error log + admin notice), removes stray chunks; unindexed list on /admin/insights</t>
        </is>
      </c>
      <c r="P152" s="36" t="inlineStr">
        <is>
          <t>2026-09-23</t>
        </is>
      </c>
    </row>
    <row r="153" ht="23.85" customHeight="1" s="37">
      <c r="A153" s="44" t="inlineStr">
        <is>
          <t>G2</t>
        </is>
      </c>
      <c r="B153" s="44" t="inlineStr">
        <is>
          <t>EPIC-G</t>
        </is>
      </c>
      <c r="C153" s="44" t="inlineStr">
        <is>
          <t>Story</t>
        </is>
      </c>
      <c r="D153" s="45" t="inlineStr">
        <is>
          <t>As a user, I can search by meaning and find documents phrased differently from my query.</t>
        </is>
      </c>
      <c r="E153" s="45" t="inlineStr">
        <is>
          <t>p95 under 800ms on a 5,000-document workspace.</t>
        </is>
      </c>
      <c r="F153" s="44" t="n"/>
      <c r="G153" s="44" t="inlineStr">
        <is>
          <t>EPIC-G</t>
        </is>
      </c>
      <c r="H153" s="46" t="inlineStr">
        <is>
          <t>High</t>
        </is>
      </c>
      <c r="I153" s="46" t="n">
        <v>8</v>
      </c>
      <c r="J153" s="46">
        <f>SUM(J154:J156)</f>
        <v/>
      </c>
      <c r="K153" s="44" t="n"/>
      <c r="L153" s="44" t="inlineStr">
        <is>
          <t>M3 Retrieval layer</t>
        </is>
      </c>
      <c r="M153" s="44" t="inlineStr">
        <is>
          <t>p1,m3</t>
        </is>
      </c>
      <c r="N153" s="51" t="inlineStr">
        <is>
          <t>In Progress</t>
        </is>
      </c>
      <c r="O153" s="36" t="inlineStr">
        <is>
          <t>2/3 sub-tasks done</t>
        </is>
      </c>
      <c r="P153" s="36" t="inlineStr">
        <is>
          <t>2026-09-23</t>
        </is>
      </c>
    </row>
    <row r="154" ht="15" customHeight="1" s="37">
      <c r="A154" s="47" t="inlineStr">
        <is>
          <t>G2-T1</t>
        </is>
      </c>
      <c r="B154" s="47" t="inlineStr">
        <is>
          <t>G2</t>
        </is>
      </c>
      <c r="C154" s="47" t="inlineStr">
        <is>
          <t>Sub-task</t>
        </is>
      </c>
      <c r="D154" s="48" t="inlineStr">
        <is>
          <t>Query embedding and vector search path</t>
        </is>
      </c>
      <c r="E154" s="49" t="n"/>
      <c r="F154" s="47" t="n"/>
      <c r="G154" s="47" t="n"/>
      <c r="H154" s="50" t="inlineStr">
        <is>
          <t>High</t>
        </is>
      </c>
      <c r="I154" s="50" t="n"/>
      <c r="J154" s="50" t="n">
        <v>8</v>
      </c>
      <c r="K154" s="47" t="inlineStr">
        <is>
          <t>AI/Pipeline</t>
        </is>
      </c>
      <c r="L154" s="47" t="inlineStr">
        <is>
          <t>M3 Retrieval layer</t>
        </is>
      </c>
      <c r="M154" s="47" t="inlineStr">
        <is>
          <t>ai-pipeline</t>
        </is>
      </c>
      <c r="N154" s="43" t="inlineStr">
        <is>
          <t>Done</t>
        </is>
      </c>
      <c r="O154" s="36" t="inlineStr">
        <is>
          <t>Retriever</t>
        </is>
      </c>
      <c r="P154" s="36" t="inlineStr">
        <is>
          <t>2026-09-22</t>
        </is>
      </c>
    </row>
    <row r="155" ht="15" customHeight="1" s="37">
      <c r="A155" s="47" t="inlineStr">
        <is>
          <t>G2-T2</t>
        </is>
      </c>
      <c r="B155" s="47" t="inlineStr">
        <is>
          <t>G2</t>
        </is>
      </c>
      <c r="C155" s="47" t="inlineStr">
        <is>
          <t>Sub-task</t>
        </is>
      </c>
      <c r="D155" s="48" t="inlineStr">
        <is>
          <t>Search results screen (S14)</t>
        </is>
      </c>
      <c r="E155" s="49" t="n"/>
      <c r="F155" s="47" t="n"/>
      <c r="G155" s="47" t="n"/>
      <c r="H155" s="50" t="inlineStr">
        <is>
          <t>High</t>
        </is>
      </c>
      <c r="I155" s="50" t="n"/>
      <c r="J155" s="50" t="n">
        <v>10</v>
      </c>
      <c r="K155" s="47" t="inlineStr">
        <is>
          <t>Frontend</t>
        </is>
      </c>
      <c r="L155" s="47" t="inlineStr">
        <is>
          <t>M3 Retrieval layer</t>
        </is>
      </c>
      <c r="M155" s="47" t="inlineStr">
        <is>
          <t>frontend</t>
        </is>
      </c>
      <c r="N155" s="43" t="inlineStr">
        <is>
          <t>Done</t>
        </is>
      </c>
      <c r="O155" s="36" t="inlineStr">
        <is>
          <t>S14</t>
        </is>
      </c>
      <c r="P155" s="36" t="inlineStr">
        <is>
          <t>2026-09-22</t>
        </is>
      </c>
    </row>
    <row r="156" ht="15" customHeight="1" s="37">
      <c r="A156" s="47" t="inlineStr">
        <is>
          <t>G2-T3</t>
        </is>
      </c>
      <c r="B156" s="47" t="inlineStr">
        <is>
          <t>G2</t>
        </is>
      </c>
      <c r="C156" s="47" t="inlineStr">
        <is>
          <t>Sub-task</t>
        </is>
      </c>
      <c r="D156" s="48" t="inlineStr">
        <is>
          <t>Relevance eval set of 50 query/document pairs</t>
        </is>
      </c>
      <c r="E156" s="49" t="n"/>
      <c r="F156" s="47" t="n"/>
      <c r="G156" s="47" t="n"/>
      <c r="H156" s="50" t="inlineStr">
        <is>
          <t>High</t>
        </is>
      </c>
      <c r="I156" s="50" t="n"/>
      <c r="J156" s="50" t="n">
        <v>6</v>
      </c>
      <c r="K156" s="47" t="inlineStr">
        <is>
          <t>QA</t>
        </is>
      </c>
      <c r="L156" s="47" t="inlineStr">
        <is>
          <t>M3 Retrieval layer</t>
        </is>
      </c>
      <c r="M156" s="47" t="inlineStr">
        <is>
          <t>qa</t>
        </is>
      </c>
      <c r="N156" s="53" t="inlineStr">
        <is>
          <t>Blocked</t>
        </is>
      </c>
      <c r="O156" s="36" t="inlineStr">
        <is>
          <t>harness done: php artisan retrieval:eval + spike/retrieval-eval format; needs design-partner content for the 50 + 15 questions</t>
        </is>
      </c>
      <c r="P156" s="36" t="inlineStr">
        <is>
          <t>2026-09-23</t>
        </is>
      </c>
    </row>
    <row r="157" ht="15" customHeight="1" s="37">
      <c r="A157" s="44" t="inlineStr">
        <is>
          <t>G3</t>
        </is>
      </c>
      <c r="B157" s="44" t="inlineStr">
        <is>
          <t>EPIC-G</t>
        </is>
      </c>
      <c r="C157" s="44" t="inlineStr">
        <is>
          <t>Story</t>
        </is>
      </c>
      <c r="D157" s="45" t="inlineStr">
        <is>
          <t>As a user, results are hybrid-ranked across semantic and keyword matching.</t>
        </is>
      </c>
      <c r="E157" s="45" t="inlineStr">
        <is>
          <t>Reciprocal rank fusion over vector and full-text results.</t>
        </is>
      </c>
      <c r="F157" s="44" t="n"/>
      <c r="G157" s="44" t="inlineStr">
        <is>
          <t>EPIC-G</t>
        </is>
      </c>
      <c r="H157" s="46" t="inlineStr">
        <is>
          <t>High</t>
        </is>
      </c>
      <c r="I157" s="46" t="n">
        <v>8</v>
      </c>
      <c r="J157" s="46">
        <f>SUM(J158:J160)</f>
        <v/>
      </c>
      <c r="K157" s="44" t="n"/>
      <c r="L157" s="44" t="inlineStr">
        <is>
          <t>M3 Retrieval layer</t>
        </is>
      </c>
      <c r="M157" s="44" t="inlineStr">
        <is>
          <t>p1,m3</t>
        </is>
      </c>
      <c r="N157" s="51" t="inlineStr">
        <is>
          <t>In Progress</t>
        </is>
      </c>
      <c r="O157" s="36" t="inlineStr">
        <is>
          <t>2/3 sub-tasks done</t>
        </is>
      </c>
      <c r="P157" s="36" t="inlineStr">
        <is>
          <t>2026-09-23</t>
        </is>
      </c>
    </row>
    <row r="158" ht="15" customHeight="1" s="37">
      <c r="A158" s="47" t="inlineStr">
        <is>
          <t>G3-T1</t>
        </is>
      </c>
      <c r="B158" s="47" t="inlineStr">
        <is>
          <t>G3</t>
        </is>
      </c>
      <c r="C158" s="47" t="inlineStr">
        <is>
          <t>Sub-task</t>
        </is>
      </c>
      <c r="D158" s="48" t="inlineStr">
        <is>
          <t>MySQL FULLTEXT index, custom stopwords, min token size config</t>
        </is>
      </c>
      <c r="E158" s="49" t="n"/>
      <c r="F158" s="47" t="n"/>
      <c r="G158" s="47" t="n"/>
      <c r="H158" s="50" t="inlineStr">
        <is>
          <t>High</t>
        </is>
      </c>
      <c r="I158" s="50" t="n"/>
      <c r="J158" s="50" t="n">
        <v>10</v>
      </c>
      <c r="K158" s="47" t="inlineStr">
        <is>
          <t>Backend</t>
        </is>
      </c>
      <c r="L158" s="47" t="inlineStr">
        <is>
          <t>M3 Retrieval layer</t>
        </is>
      </c>
      <c r="M158" s="47" t="inlineStr">
        <is>
          <t>backend</t>
        </is>
      </c>
      <c r="N158" s="43" t="inlineStr">
        <is>
          <t>Done</t>
        </is>
      </c>
      <c r="O158" s="36" t="inlineStr">
        <is>
          <t>InnoDB FULLTEXT ft_chunk_search + custom stopword table via session variable (migration 001500); verified on MySQL 8.4; LIKE fallback on SQLite</t>
        </is>
      </c>
      <c r="P158" s="36" t="inlineStr">
        <is>
          <t>2026-09-23</t>
        </is>
      </c>
    </row>
    <row r="159" ht="15" customHeight="1" s="37">
      <c r="A159" s="47" t="inlineStr">
        <is>
          <t>G3-T2</t>
        </is>
      </c>
      <c r="B159" s="47" t="inlineStr">
        <is>
          <t>G3</t>
        </is>
      </c>
      <c r="C159" s="47" t="inlineStr">
        <is>
          <t>Sub-task</t>
        </is>
      </c>
      <c r="D159" s="48" t="inlineStr">
        <is>
          <t>Reciprocal rank fusion by position, not raw score, with weight tuning</t>
        </is>
      </c>
      <c r="E159" s="49" t="n"/>
      <c r="F159" s="47" t="n"/>
      <c r="G159" s="47" t="n"/>
      <c r="H159" s="50" t="inlineStr">
        <is>
          <t>High</t>
        </is>
      </c>
      <c r="I159" s="50" t="n"/>
      <c r="J159" s="50" t="n">
        <v>12</v>
      </c>
      <c r="K159" s="47" t="inlineStr">
        <is>
          <t>AI/Pipeline</t>
        </is>
      </c>
      <c r="L159" s="47" t="inlineStr">
        <is>
          <t>M3 Retrieval layer</t>
        </is>
      </c>
      <c r="M159" s="47" t="inlineStr">
        <is>
          <t>ai-pipeline</t>
        </is>
      </c>
      <c r="N159" s="43" t="inlineStr">
        <is>
          <t>Done</t>
        </is>
      </c>
      <c r="O159" s="36" t="inlineStr">
        <is>
          <t>RRF 1.0/0.6</t>
        </is>
      </c>
      <c r="P159" s="36" t="inlineStr">
        <is>
          <t>2026-09-22</t>
        </is>
      </c>
    </row>
    <row r="160" ht="15" customHeight="1" s="37">
      <c r="A160" s="47" t="inlineStr">
        <is>
          <t>G3-T3</t>
        </is>
      </c>
      <c r="B160" s="47" t="inlineStr">
        <is>
          <t>G3</t>
        </is>
      </c>
      <c r="C160" s="47" t="inlineStr">
        <is>
          <t>Sub-task</t>
        </is>
      </c>
      <c r="D160" s="48" t="inlineStr">
        <is>
          <t>Ranking quality eval</t>
        </is>
      </c>
      <c r="E160" s="49" t="n"/>
      <c r="F160" s="47" t="n"/>
      <c r="G160" s="47" t="n"/>
      <c r="H160" s="50" t="inlineStr">
        <is>
          <t>High</t>
        </is>
      </c>
      <c r="I160" s="50" t="n"/>
      <c r="J160" s="50" t="n">
        <v>6</v>
      </c>
      <c r="K160" s="47" t="inlineStr">
        <is>
          <t>QA</t>
        </is>
      </c>
      <c r="L160" s="47" t="inlineStr">
        <is>
          <t>M3 Retrieval layer</t>
        </is>
      </c>
      <c r="M160" s="47" t="inlineStr">
        <is>
          <t>qa</t>
        </is>
      </c>
      <c r="N160" s="53" t="inlineStr">
        <is>
          <t>Blocked</t>
        </is>
      </c>
      <c r="O160" s="36" t="inlineStr">
        <is>
          <t>harness done: retrieval:eval compares fusion weights side by side; needs the eval set (G2-T3)</t>
        </is>
      </c>
      <c r="P160" s="36" t="inlineStr">
        <is>
          <t>2026-09-23</t>
        </is>
      </c>
    </row>
    <row r="161" ht="15" customHeight="1" s="37">
      <c r="A161" s="44" t="inlineStr">
        <is>
          <t>G4</t>
        </is>
      </c>
      <c r="B161" s="44" t="inlineStr">
        <is>
          <t>EPIC-G</t>
        </is>
      </c>
      <c r="C161" s="44" t="inlineStr">
        <is>
          <t>Story</t>
        </is>
      </c>
      <c r="D161" s="45" t="inlineStr">
        <is>
          <t>As a user, I can filter results by space, owner, type and date.</t>
        </is>
      </c>
      <c r="E161" s="45" t="n"/>
      <c r="F161" s="44" t="n"/>
      <c r="G161" s="44" t="inlineStr">
        <is>
          <t>EPIC-G</t>
        </is>
      </c>
      <c r="H161" s="46" t="inlineStr">
        <is>
          <t>High</t>
        </is>
      </c>
      <c r="I161" s="46" t="n">
        <v>5</v>
      </c>
      <c r="J161" s="46">
        <f>SUM(J162:J163)</f>
        <v/>
      </c>
      <c r="K161" s="44" t="n"/>
      <c r="L161" s="44" t="inlineStr">
        <is>
          <t>M3 Retrieval layer</t>
        </is>
      </c>
      <c r="M161" s="44" t="inlineStr">
        <is>
          <t>p1,m3</t>
        </is>
      </c>
      <c r="N161" s="43" t="inlineStr">
        <is>
          <t>Done</t>
        </is>
      </c>
      <c r="O161" s="36" t="inlineStr">
        <is>
          <t>2/2 sub-tasks done</t>
        </is>
      </c>
      <c r="P161" s="36" t="inlineStr">
        <is>
          <t>2026-09-23</t>
        </is>
      </c>
    </row>
    <row r="162" ht="15" customHeight="1" s="37">
      <c r="A162" s="47" t="inlineStr">
        <is>
          <t>G4-T1</t>
        </is>
      </c>
      <c r="B162" s="47" t="inlineStr">
        <is>
          <t>G4</t>
        </is>
      </c>
      <c r="C162" s="47" t="inlineStr">
        <is>
          <t>Sub-task</t>
        </is>
      </c>
      <c r="D162" s="48" t="inlineStr">
        <is>
          <t>Filter parameters on search API</t>
        </is>
      </c>
      <c r="E162" s="49" t="n"/>
      <c r="F162" s="47" t="n"/>
      <c r="G162" s="47" t="n"/>
      <c r="H162" s="50" t="inlineStr">
        <is>
          <t>High</t>
        </is>
      </c>
      <c r="I162" s="50" t="n"/>
      <c r="J162" s="50" t="n">
        <v>5</v>
      </c>
      <c r="K162" s="47" t="inlineStr">
        <is>
          <t>Backend</t>
        </is>
      </c>
      <c r="L162" s="47" t="inlineStr">
        <is>
          <t>M3 Retrieval layer</t>
        </is>
      </c>
      <c r="M162" s="47" t="inlineStr">
        <is>
          <t>backend</t>
        </is>
      </c>
      <c r="N162" s="43" t="inlineStr">
        <is>
          <t>Done</t>
        </is>
      </c>
      <c r="O162" s="36" t="inlineStr">
        <is>
          <t>space, doc_type, owner, approved_after/before — applied inside both legs</t>
        </is>
      </c>
      <c r="P162" s="36" t="inlineStr">
        <is>
          <t>2026-09-23</t>
        </is>
      </c>
    </row>
    <row r="163" ht="15" customHeight="1" s="37">
      <c r="A163" s="47" t="inlineStr">
        <is>
          <t>G4-T2</t>
        </is>
      </c>
      <c r="B163" s="47" t="inlineStr">
        <is>
          <t>G4</t>
        </is>
      </c>
      <c r="C163" s="47" t="inlineStr">
        <is>
          <t>Sub-task</t>
        </is>
      </c>
      <c r="D163" s="48" t="inlineStr">
        <is>
          <t>Filter rail UI</t>
        </is>
      </c>
      <c r="E163" s="49" t="n"/>
      <c r="F163" s="47" t="n"/>
      <c r="G163" s="47" t="n"/>
      <c r="H163" s="50" t="inlineStr">
        <is>
          <t>High</t>
        </is>
      </c>
      <c r="I163" s="50" t="n"/>
      <c r="J163" s="50" t="n">
        <v>8</v>
      </c>
      <c r="K163" s="47" t="inlineStr">
        <is>
          <t>Frontend</t>
        </is>
      </c>
      <c r="L163" s="47" t="inlineStr">
        <is>
          <t>M3 Retrieval layer</t>
        </is>
      </c>
      <c r="M163" s="47" t="inlineStr">
        <is>
          <t>frontend</t>
        </is>
      </c>
      <c r="N163" s="43" t="inlineStr">
        <is>
          <t>Done</t>
        </is>
      </c>
      <c r="O163" s="36" t="inlineStr">
        <is>
          <t>space, type, owner (me), approval period</t>
        </is>
      </c>
      <c r="P163" s="36" t="inlineStr">
        <is>
          <t>2026-09-23</t>
        </is>
      </c>
    </row>
    <row r="164" ht="23.85" customHeight="1" s="37">
      <c r="A164" s="44" t="inlineStr">
        <is>
          <t>G5</t>
        </is>
      </c>
      <c r="B164" s="44" t="inlineStr">
        <is>
          <t>EPIC-G</t>
        </is>
      </c>
      <c r="C164" s="44" t="inlineStr">
        <is>
          <t>Story</t>
        </is>
      </c>
      <c r="D164" s="45" t="inlineStr">
        <is>
          <t>As a system, retrieval filters by permission inside the query, never after.</t>
        </is>
      </c>
      <c r="E164" s="45" t="inlineStr">
        <is>
          <t>Release blocker. Two independent checks must both fail for a leak to occur.</t>
        </is>
      </c>
      <c r="F164" s="44" t="n"/>
      <c r="G164" s="44" t="inlineStr">
        <is>
          <t>EPIC-G</t>
        </is>
      </c>
      <c r="H164" s="46" t="inlineStr">
        <is>
          <t>High</t>
        </is>
      </c>
      <c r="I164" s="46" t="n">
        <v>8</v>
      </c>
      <c r="J164" s="46">
        <f>SUM(J165:J167)</f>
        <v/>
      </c>
      <c r="K164" s="44" t="n"/>
      <c r="L164" s="44" t="inlineStr">
        <is>
          <t>M3 Retrieval layer</t>
        </is>
      </c>
      <c r="M164" s="44" t="inlineStr">
        <is>
          <t>p1,m3</t>
        </is>
      </c>
      <c r="N164" s="43" t="inlineStr">
        <is>
          <t>Done</t>
        </is>
      </c>
      <c r="O164" s="36" t="inlineStr">
        <is>
          <t>3/3 sub-tasks done</t>
        </is>
      </c>
      <c r="P164" s="36" t="inlineStr">
        <is>
          <t>2026-09-23</t>
        </is>
      </c>
    </row>
    <row r="165" ht="15" customHeight="1" s="37">
      <c r="A165" s="47" t="inlineStr">
        <is>
          <t>G5-T1</t>
        </is>
      </c>
      <c r="B165" s="47" t="inlineStr">
        <is>
          <t>G5</t>
        </is>
      </c>
      <c r="C165" s="47" t="inlineStr">
        <is>
          <t>Sub-task</t>
        </is>
      </c>
      <c r="D165" s="48" t="inlineStr">
        <is>
          <t>Workspace, space and state metadata filters on vector query</t>
        </is>
      </c>
      <c r="E165" s="49" t="n"/>
      <c r="F165" s="47" t="n"/>
      <c r="G165" s="47" t="n"/>
      <c r="H165" s="50" t="inlineStr">
        <is>
          <t>High</t>
        </is>
      </c>
      <c r="I165" s="50" t="n"/>
      <c r="J165" s="50" t="n">
        <v>8</v>
      </c>
      <c r="K165" s="47" t="inlineStr">
        <is>
          <t>AI/Pipeline</t>
        </is>
      </c>
      <c r="L165" s="47" t="inlineStr">
        <is>
          <t>M3 Retrieval layer</t>
        </is>
      </c>
      <c r="M165" s="47" t="inlineStr">
        <is>
          <t>ai-pipeline</t>
        </is>
      </c>
      <c r="N165" s="43" t="inlineStr">
        <is>
          <t>Done</t>
        </is>
      </c>
      <c r="P165" s="36" t="inlineStr">
        <is>
          <t>2026-09-22</t>
        </is>
      </c>
    </row>
    <row r="166" ht="15" customHeight="1" s="37">
      <c r="A166" s="47" t="inlineStr">
        <is>
          <t>G5-T2</t>
        </is>
      </c>
      <c r="B166" s="47" t="inlineStr">
        <is>
          <t>G5</t>
        </is>
      </c>
      <c r="C166" s="47" t="inlineStr">
        <is>
          <t>Sub-task</t>
        </is>
      </c>
      <c r="D166" s="48" t="inlineStr">
        <is>
          <t>Policy-backed chunk scoping in the query layer</t>
        </is>
      </c>
      <c r="E166" s="49" t="n"/>
      <c r="F166" s="47" t="n"/>
      <c r="G166" s="47" t="n"/>
      <c r="H166" s="50" t="inlineStr">
        <is>
          <t>High</t>
        </is>
      </c>
      <c r="I166" s="50" t="n"/>
      <c r="J166" s="50" t="n">
        <v>6</v>
      </c>
      <c r="K166" s="47" t="inlineStr">
        <is>
          <t>Backend</t>
        </is>
      </c>
      <c r="L166" s="47" t="inlineStr">
        <is>
          <t>M3 Retrieval layer</t>
        </is>
      </c>
      <c r="M166" s="47" t="inlineStr">
        <is>
          <t>backend</t>
        </is>
      </c>
      <c r="N166" s="43" t="inlineStr">
        <is>
          <t>Done</t>
        </is>
      </c>
      <c r="P166" s="36" t="inlineStr">
        <is>
          <t>2026-09-22</t>
        </is>
      </c>
    </row>
    <row r="167" ht="15" customHeight="1" s="37">
      <c r="A167" s="47" t="inlineStr">
        <is>
          <t>G5-T3</t>
        </is>
      </c>
      <c r="B167" s="47" t="inlineStr">
        <is>
          <t>G5</t>
        </is>
      </c>
      <c r="C167" s="47" t="inlineStr">
        <is>
          <t>Sub-task</t>
        </is>
      </c>
      <c r="D167" s="48" t="inlineStr">
        <is>
          <t>Adversarial retrieval leak tests including existence probing</t>
        </is>
      </c>
      <c r="E167" s="49" t="n"/>
      <c r="F167" s="47" t="n"/>
      <c r="G167" s="47" t="n"/>
      <c r="H167" s="50" t="inlineStr">
        <is>
          <t>High</t>
        </is>
      </c>
      <c r="I167" s="50" t="n"/>
      <c r="J167" s="50" t="n">
        <v>12</v>
      </c>
      <c r="K167" s="47" t="inlineStr">
        <is>
          <t>QA</t>
        </is>
      </c>
      <c r="L167" s="47" t="inlineStr">
        <is>
          <t>M3 Retrieval layer</t>
        </is>
      </c>
      <c r="M167" s="47" t="inlineStr">
        <is>
          <t>qa</t>
        </is>
      </c>
      <c r="N167" s="43" t="inlineStr">
        <is>
          <t>Done</t>
        </is>
      </c>
      <c r="O167" s="36" t="inlineStr">
        <is>
          <t>AdversarialRetrievalTest: 7 probes (search, chat, filters, id routes, links, folders, drafts/archive, cross-workspace); found and fixed: documents under revision vanished from search</t>
        </is>
      </c>
      <c r="P167" s="36" t="inlineStr">
        <is>
          <t>2026-09-23</t>
        </is>
      </c>
    </row>
    <row r="168" ht="15" customHeight="1" s="37">
      <c r="A168" s="40" t="inlineStr">
        <is>
          <t>EPIC-H</t>
        </is>
      </c>
      <c r="B168" s="40" t="n"/>
      <c r="C168" s="40" t="inlineStr">
        <is>
          <t>Epic</t>
        </is>
      </c>
      <c r="D168" s="41" t="inlineStr">
        <is>
          <t>H — Chatbot</t>
        </is>
      </c>
      <c r="E168" s="41" t="inlineStr">
        <is>
          <t>Answers from approved content only, cited, with designed refusal.</t>
        </is>
      </c>
      <c r="F168" s="40" t="inlineStr">
        <is>
          <t>Chatbot</t>
        </is>
      </c>
      <c r="G168" s="40" t="n"/>
      <c r="H168" s="42" t="n"/>
      <c r="I168" s="42">
        <f>SUMIFS(I$2:I$273,G$2:G$273,"EPIC-H",C$2:C$273,"Story")</f>
        <v/>
      </c>
      <c r="J168" s="42">
        <f>SUMIFS(J$2:J$273,G$2:G$273,"EPIC-H",C$2:C$273,"Story")</f>
        <v/>
      </c>
      <c r="K168" s="40" t="n"/>
      <c r="L168" s="40" t="n"/>
      <c r="M168" s="40" t="inlineStr">
        <is>
          <t>epic</t>
        </is>
      </c>
      <c r="N168" s="51" t="inlineStr">
        <is>
          <t>In Progress</t>
        </is>
      </c>
      <c r="O168" s="36" t="inlineStr">
        <is>
          <t>15/16 sub-tasks done, 5/6 stories done; refusal eval needs API keys on staging</t>
        </is>
      </c>
      <c r="P168" s="36" t="inlineStr">
        <is>
          <t>2026-09-23</t>
        </is>
      </c>
    </row>
    <row r="169" ht="23.85" customHeight="1" s="37">
      <c r="A169" s="44" t="inlineStr">
        <is>
          <t>H1</t>
        </is>
      </c>
      <c r="B169" s="44" t="inlineStr">
        <is>
          <t>EPIC-H</t>
        </is>
      </c>
      <c r="C169" s="44" t="inlineStr">
        <is>
          <t>Story</t>
        </is>
      </c>
      <c r="D169" s="45" t="inlineStr">
        <is>
          <t>As an employee, I can ask a question in plain language and get an answer from our own documents.</t>
        </is>
      </c>
      <c r="E169" s="45" t="inlineStr">
        <is>
          <t>p95 first token under 2 seconds.</t>
        </is>
      </c>
      <c r="F169" s="44" t="n"/>
      <c r="G169" s="44" t="inlineStr">
        <is>
          <t>EPIC-H</t>
        </is>
      </c>
      <c r="H169" s="46" t="inlineStr">
        <is>
          <t>High</t>
        </is>
      </c>
      <c r="I169" s="46" t="n">
        <v>13</v>
      </c>
      <c r="J169" s="46">
        <f>SUM(J170:J173)</f>
        <v/>
      </c>
      <c r="K169" s="44" t="n"/>
      <c r="L169" s="44" t="inlineStr">
        <is>
          <t>M3 Retrieval layer</t>
        </is>
      </c>
      <c r="M169" s="44" t="inlineStr">
        <is>
          <t>p1,m3</t>
        </is>
      </c>
      <c r="N169" s="43" t="inlineStr">
        <is>
          <t>Done</t>
        </is>
      </c>
      <c r="O169" s="36" t="inlineStr">
        <is>
          <t>4/4 sub-tasks done</t>
        </is>
      </c>
      <c r="P169" s="36" t="inlineStr">
        <is>
          <t>2026-09-23</t>
        </is>
      </c>
    </row>
    <row r="170" ht="15" customHeight="1" s="37">
      <c r="A170" s="47" t="inlineStr">
        <is>
          <t>H1-T1</t>
        </is>
      </c>
      <c r="B170" s="47" t="inlineStr">
        <is>
          <t>H1</t>
        </is>
      </c>
      <c r="C170" s="47" t="inlineStr">
        <is>
          <t>Sub-task</t>
        </is>
      </c>
      <c r="D170" s="48" t="inlineStr">
        <is>
          <t>Retrieval to context assembly</t>
        </is>
      </c>
      <c r="E170" s="49" t="n"/>
      <c r="F170" s="47" t="n"/>
      <c r="G170" s="47" t="n"/>
      <c r="H170" s="50" t="inlineStr">
        <is>
          <t>High</t>
        </is>
      </c>
      <c r="I170" s="50" t="n"/>
      <c r="J170" s="50" t="n">
        <v>10</v>
      </c>
      <c r="K170" s="47" t="inlineStr">
        <is>
          <t>AI/Pipeline</t>
        </is>
      </c>
      <c r="L170" s="47" t="inlineStr">
        <is>
          <t>M3 Retrieval layer</t>
        </is>
      </c>
      <c r="M170" s="47" t="inlineStr">
        <is>
          <t>ai-pipeline</t>
        </is>
      </c>
      <c r="N170" s="43" t="inlineStr">
        <is>
          <t>Done</t>
        </is>
      </c>
      <c r="P170" s="36" t="inlineStr">
        <is>
          <t>2026-09-22</t>
        </is>
      </c>
    </row>
    <row r="171" ht="15" customHeight="1" s="37">
      <c r="A171" s="47" t="inlineStr">
        <is>
          <t>H1-T2</t>
        </is>
      </c>
      <c r="B171" s="47" t="inlineStr">
        <is>
          <t>H1</t>
        </is>
      </c>
      <c r="C171" s="47" t="inlineStr">
        <is>
          <t>Sub-task</t>
        </is>
      </c>
      <c r="D171" s="48" t="inlineStr">
        <is>
          <t>Answer generation prompt requiring citations</t>
        </is>
      </c>
      <c r="E171" s="49" t="n"/>
      <c r="F171" s="47" t="n"/>
      <c r="G171" s="47" t="n"/>
      <c r="H171" s="50" t="inlineStr">
        <is>
          <t>High</t>
        </is>
      </c>
      <c r="I171" s="50" t="n"/>
      <c r="J171" s="50" t="n">
        <v>12</v>
      </c>
      <c r="K171" s="47" t="inlineStr">
        <is>
          <t>AI/Pipeline</t>
        </is>
      </c>
      <c r="L171" s="47" t="inlineStr">
        <is>
          <t>M3 Retrieval layer</t>
        </is>
      </c>
      <c r="M171" s="47" t="inlineStr">
        <is>
          <t>ai-pipeline</t>
        </is>
      </c>
      <c r="N171" s="43" t="inlineStr">
        <is>
          <t>Done</t>
        </is>
      </c>
      <c r="O171" s="36" t="inlineStr">
        <is>
          <t>[answer] prompt</t>
        </is>
      </c>
      <c r="P171" s="36" t="inlineStr">
        <is>
          <t>2026-09-22</t>
        </is>
      </c>
    </row>
    <row r="172" ht="15" customHeight="1" s="37">
      <c r="A172" s="47" t="inlineStr">
        <is>
          <t>H1-T3</t>
        </is>
      </c>
      <c r="B172" s="47" t="inlineStr">
        <is>
          <t>H1</t>
        </is>
      </c>
      <c r="C172" s="47" t="inlineStr">
        <is>
          <t>Sub-task</t>
        </is>
      </c>
      <c r="D172" s="48" t="inlineStr">
        <is>
          <t>SSE streaming endpoint</t>
        </is>
      </c>
      <c r="E172" s="49" t="n"/>
      <c r="F172" s="47" t="n"/>
      <c r="G172" s="47" t="n"/>
      <c r="H172" s="50" t="inlineStr">
        <is>
          <t>High</t>
        </is>
      </c>
      <c r="I172" s="50" t="n"/>
      <c r="J172" s="50" t="n">
        <v>8</v>
      </c>
      <c r="K172" s="47" t="inlineStr">
        <is>
          <t>Backend</t>
        </is>
      </c>
      <c r="L172" s="47" t="inlineStr">
        <is>
          <t>M3 Retrieval layer</t>
        </is>
      </c>
      <c r="M172" s="47" t="inlineStr">
        <is>
          <t>backend</t>
        </is>
      </c>
      <c r="N172" s="43" t="inlineStr">
        <is>
          <t>Done</t>
        </is>
      </c>
      <c r="O172" s="36" t="inlineStr">
        <is>
          <t>retrieval → token* → done</t>
        </is>
      </c>
      <c r="P172" s="36" t="inlineStr">
        <is>
          <t>2026-09-22</t>
        </is>
      </c>
    </row>
    <row r="173" ht="15" customHeight="1" s="37">
      <c r="A173" s="47" t="inlineStr">
        <is>
          <t>H1-T4</t>
        </is>
      </c>
      <c r="B173" s="47" t="inlineStr">
        <is>
          <t>H1</t>
        </is>
      </c>
      <c r="C173" s="47" t="inlineStr">
        <is>
          <t>Sub-task</t>
        </is>
      </c>
      <c r="D173" s="48" t="inlineStr">
        <is>
          <t>Ask screen with streaming render (S15)</t>
        </is>
      </c>
      <c r="E173" s="49" t="n"/>
      <c r="F173" s="47" t="n"/>
      <c r="G173" s="47" t="n"/>
      <c r="H173" s="50" t="inlineStr">
        <is>
          <t>High</t>
        </is>
      </c>
      <c r="I173" s="50" t="n"/>
      <c r="J173" s="50" t="n">
        <v>14</v>
      </c>
      <c r="K173" s="47" t="inlineStr">
        <is>
          <t>Frontend</t>
        </is>
      </c>
      <c r="L173" s="47" t="inlineStr">
        <is>
          <t>M3 Retrieval layer</t>
        </is>
      </c>
      <c r="M173" s="47" t="inlineStr">
        <is>
          <t>frontend</t>
        </is>
      </c>
      <c r="N173" s="43" t="inlineStr">
        <is>
          <t>Done</t>
        </is>
      </c>
      <c r="O173" s="36" t="inlineStr">
        <is>
          <t>S15</t>
        </is>
      </c>
      <c r="P173" s="36" t="inlineStr">
        <is>
          <t>2026-09-22</t>
        </is>
      </c>
    </row>
    <row r="174" ht="23.85" customHeight="1" s="37">
      <c r="A174" s="44" t="inlineStr">
        <is>
          <t>H2</t>
        </is>
      </c>
      <c r="B174" s="44" t="inlineStr">
        <is>
          <t>EPIC-H</t>
        </is>
      </c>
      <c r="C174" s="44" t="inlineStr">
        <is>
          <t>Story</t>
        </is>
      </c>
      <c r="D174" s="45" t="inlineStr">
        <is>
          <t>As an employee, every answer cites the source SOP, version and step, and links to it.</t>
        </is>
      </c>
      <c r="E174" s="45" t="inlineStr">
        <is>
          <t>An answer with zero citations is a bug, not a valid response.</t>
        </is>
      </c>
      <c r="F174" s="44" t="n"/>
      <c r="G174" s="44" t="inlineStr">
        <is>
          <t>EPIC-H</t>
        </is>
      </c>
      <c r="H174" s="46" t="inlineStr">
        <is>
          <t>High</t>
        </is>
      </c>
      <c r="I174" s="46" t="n">
        <v>8</v>
      </c>
      <c r="J174" s="46">
        <f>SUM(J175:J177)</f>
        <v/>
      </c>
      <c r="K174" s="44" t="n"/>
      <c r="L174" s="44" t="inlineStr">
        <is>
          <t>M3 Retrieval layer</t>
        </is>
      </c>
      <c r="M174" s="44" t="inlineStr">
        <is>
          <t>p1,m3</t>
        </is>
      </c>
      <c r="N174" s="43" t="inlineStr">
        <is>
          <t>Done</t>
        </is>
      </c>
      <c r="O174" s="36" t="inlineStr">
        <is>
          <t>3/3 sub-tasks done</t>
        </is>
      </c>
      <c r="P174" s="36" t="inlineStr">
        <is>
          <t>2026-09-23</t>
        </is>
      </c>
    </row>
    <row r="175" ht="15" customHeight="1" s="37">
      <c r="A175" s="47" t="inlineStr">
        <is>
          <t>H2-T1</t>
        </is>
      </c>
      <c r="B175" s="47" t="inlineStr">
        <is>
          <t>H2</t>
        </is>
      </c>
      <c r="C175" s="47" t="inlineStr">
        <is>
          <t>Sub-task</t>
        </is>
      </c>
      <c r="D175" s="48" t="inlineStr">
        <is>
          <t>Citation resolution to document, version and step</t>
        </is>
      </c>
      <c r="E175" s="49" t="n"/>
      <c r="F175" s="47" t="n"/>
      <c r="G175" s="47" t="n"/>
      <c r="H175" s="50" t="inlineStr">
        <is>
          <t>High</t>
        </is>
      </c>
      <c r="I175" s="50" t="n"/>
      <c r="J175" s="50" t="n">
        <v>8</v>
      </c>
      <c r="K175" s="47" t="inlineStr">
        <is>
          <t>Backend</t>
        </is>
      </c>
      <c r="L175" s="47" t="inlineStr">
        <is>
          <t>M3 Retrieval layer</t>
        </is>
      </c>
      <c r="M175" s="47" t="inlineStr">
        <is>
          <t>backend</t>
        </is>
      </c>
      <c r="N175" s="43" t="inlineStr">
        <is>
          <t>Done</t>
        </is>
      </c>
      <c r="P175" s="36" t="inlineStr">
        <is>
          <t>2026-09-22</t>
        </is>
      </c>
    </row>
    <row r="176" ht="15" customHeight="1" s="37">
      <c r="A176" s="47" t="inlineStr">
        <is>
          <t>H2-T2</t>
        </is>
      </c>
      <c r="B176" s="47" t="inlineStr">
        <is>
          <t>H2</t>
        </is>
      </c>
      <c r="C176" s="47" t="inlineStr">
        <is>
          <t>Sub-task</t>
        </is>
      </c>
      <c r="D176" s="48" t="inlineStr">
        <is>
          <t>Citation chips with deep link to step</t>
        </is>
      </c>
      <c r="E176" s="49" t="n"/>
      <c r="F176" s="47" t="n"/>
      <c r="G176" s="47" t="n"/>
      <c r="H176" s="50" t="inlineStr">
        <is>
          <t>High</t>
        </is>
      </c>
      <c r="I176" s="50" t="n"/>
      <c r="J176" s="50" t="n">
        <v>10</v>
      </c>
      <c r="K176" s="47" t="inlineStr">
        <is>
          <t>Frontend</t>
        </is>
      </c>
      <c r="L176" s="47" t="inlineStr">
        <is>
          <t>M3 Retrieval layer</t>
        </is>
      </c>
      <c r="M176" s="47" t="inlineStr">
        <is>
          <t>frontend</t>
        </is>
      </c>
      <c r="N176" s="43" t="inlineStr">
        <is>
          <t>Done</t>
        </is>
      </c>
      <c r="O176" s="36" t="inlineStr">
        <is>
          <t>deep link to step/section/block</t>
        </is>
      </c>
      <c r="P176" s="36" t="inlineStr">
        <is>
          <t>2026-09-22</t>
        </is>
      </c>
    </row>
    <row r="177" ht="15" customHeight="1" s="37">
      <c r="A177" s="47" t="inlineStr">
        <is>
          <t>H2-T3</t>
        </is>
      </c>
      <c r="B177" s="47" t="inlineStr">
        <is>
          <t>H2</t>
        </is>
      </c>
      <c r="C177" s="47" t="inlineStr">
        <is>
          <t>Sub-task</t>
        </is>
      </c>
      <c r="D177" s="48" t="inlineStr">
        <is>
          <t>Block answers that carry no citation</t>
        </is>
      </c>
      <c r="E177" s="49" t="n"/>
      <c r="F177" s="47" t="n"/>
      <c r="G177" s="47" t="n"/>
      <c r="H177" s="50" t="inlineStr">
        <is>
          <t>High</t>
        </is>
      </c>
      <c r="I177" s="50" t="n"/>
      <c r="J177" s="50" t="n">
        <v>4</v>
      </c>
      <c r="K177" s="47" t="inlineStr">
        <is>
          <t>AI/Pipeline</t>
        </is>
      </c>
      <c r="L177" s="47" t="inlineStr">
        <is>
          <t>M3 Retrieval layer</t>
        </is>
      </c>
      <c r="M177" s="47" t="inlineStr">
        <is>
          <t>ai-pipeline</t>
        </is>
      </c>
      <c r="N177" s="43" t="inlineStr">
        <is>
          <t>Done</t>
        </is>
      </c>
      <c r="O177" s="36" t="inlineStr">
        <is>
          <t>zero-citation → refusal</t>
        </is>
      </c>
      <c r="P177" s="36" t="inlineStr">
        <is>
          <t>2026-09-22</t>
        </is>
      </c>
    </row>
    <row r="178" ht="23.85" customHeight="1" s="37">
      <c r="A178" s="44" t="inlineStr">
        <is>
          <t>H3</t>
        </is>
      </c>
      <c r="B178" s="44" t="inlineStr">
        <is>
          <t>EPIC-H</t>
        </is>
      </c>
      <c r="C178" s="44" t="inlineStr">
        <is>
          <t>Story</t>
        </is>
      </c>
      <c r="D178" s="45" t="inlineStr">
        <is>
          <t>As an employee, when no approved document covers my question, the bot says so instead of guessing.</t>
        </is>
      </c>
      <c r="E178" s="45" t="inlineStr">
        <is>
          <t>Refusal is a designed state with actions attached, not a fallback.</t>
        </is>
      </c>
      <c r="F178" s="44" t="n"/>
      <c r="G178" s="44" t="inlineStr">
        <is>
          <t>EPIC-H</t>
        </is>
      </c>
      <c r="H178" s="46" t="inlineStr">
        <is>
          <t>High</t>
        </is>
      </c>
      <c r="I178" s="46" t="n">
        <v>8</v>
      </c>
      <c r="J178" s="46">
        <f>SUM(J179:J181)</f>
        <v/>
      </c>
      <c r="K178" s="44" t="n"/>
      <c r="L178" s="44" t="inlineStr">
        <is>
          <t>M3 Retrieval layer</t>
        </is>
      </c>
      <c r="M178" s="44" t="inlineStr">
        <is>
          <t>p1,m3</t>
        </is>
      </c>
      <c r="N178" s="51" t="inlineStr">
        <is>
          <t>In Progress</t>
        </is>
      </c>
      <c r="O178" s="36" t="inlineStr">
        <is>
          <t>2/3 sub-tasks done</t>
        </is>
      </c>
      <c r="P178" s="36" t="inlineStr">
        <is>
          <t>2026-09-23</t>
        </is>
      </c>
    </row>
    <row r="179" ht="15" customHeight="1" s="37">
      <c r="A179" s="47" t="inlineStr">
        <is>
          <t>H3-T1</t>
        </is>
      </c>
      <c r="B179" s="47" t="inlineStr">
        <is>
          <t>H3</t>
        </is>
      </c>
      <c r="C179" s="47" t="inlineStr">
        <is>
          <t>Sub-task</t>
        </is>
      </c>
      <c r="D179" s="48" t="inlineStr">
        <is>
          <t>Confidence threshold and refusal path</t>
        </is>
      </c>
      <c r="E179" s="49" t="n"/>
      <c r="F179" s="47" t="n"/>
      <c r="G179" s="47" t="n"/>
      <c r="H179" s="50" t="inlineStr">
        <is>
          <t>High</t>
        </is>
      </c>
      <c r="I179" s="50" t="n"/>
      <c r="J179" s="50" t="n">
        <v>8</v>
      </c>
      <c r="K179" s="47" t="inlineStr">
        <is>
          <t>AI/Pipeline</t>
        </is>
      </c>
      <c r="L179" s="47" t="inlineStr">
        <is>
          <t>M3 Retrieval layer</t>
        </is>
      </c>
      <c r="M179" s="47" t="inlineStr">
        <is>
          <t>ai-pipeline</t>
        </is>
      </c>
      <c r="N179" s="43" t="inlineStr">
        <is>
          <t>Done</t>
        </is>
      </c>
      <c r="O179" s="36" t="inlineStr">
        <is>
          <t>min_score</t>
        </is>
      </c>
      <c r="P179" s="36" t="inlineStr">
        <is>
          <t>2026-09-22</t>
        </is>
      </c>
    </row>
    <row r="180" ht="15" customHeight="1" s="37">
      <c r="A180" s="47" t="inlineStr">
        <is>
          <t>H3-T2</t>
        </is>
      </c>
      <c r="B180" s="47" t="inlineStr">
        <is>
          <t>H3</t>
        </is>
      </c>
      <c r="C180" s="47" t="inlineStr">
        <is>
          <t>Sub-task</t>
        </is>
      </c>
      <c r="D180" s="48" t="inlineStr">
        <is>
          <t>Refusal UI with record and request actions</t>
        </is>
      </c>
      <c r="E180" s="49" t="n"/>
      <c r="F180" s="47" t="n"/>
      <c r="G180" s="47" t="n"/>
      <c r="H180" s="50" t="inlineStr">
        <is>
          <t>High</t>
        </is>
      </c>
      <c r="I180" s="50" t="n"/>
      <c r="J180" s="50" t="n">
        <v>8</v>
      </c>
      <c r="K180" s="47" t="inlineStr">
        <is>
          <t>Design</t>
        </is>
      </c>
      <c r="L180" s="47" t="inlineStr">
        <is>
          <t>M3 Retrieval layer</t>
        </is>
      </c>
      <c r="M180" s="47" t="inlineStr">
        <is>
          <t>design</t>
        </is>
      </c>
      <c r="N180" s="43" t="inlineStr">
        <is>
          <t>Done</t>
        </is>
      </c>
      <c r="O180" s="36" t="inlineStr">
        <is>
          <t>Record it / Request</t>
        </is>
      </c>
      <c r="P180" s="36" t="inlineStr">
        <is>
          <t>2026-09-22</t>
        </is>
      </c>
    </row>
    <row r="181" ht="15" customHeight="1" s="37">
      <c r="A181" s="47" t="inlineStr">
        <is>
          <t>H3-T3</t>
        </is>
      </c>
      <c r="B181" s="47" t="inlineStr">
        <is>
          <t>H3</t>
        </is>
      </c>
      <c r="C181" s="47" t="inlineStr">
        <is>
          <t>Sub-task</t>
        </is>
      </c>
      <c r="D181" s="48" t="inlineStr">
        <is>
          <t>Refusal eval: 15 deliberately unanswerable questions</t>
        </is>
      </c>
      <c r="E181" s="49" t="n"/>
      <c r="F181" s="47" t="n"/>
      <c r="G181" s="47" t="n"/>
      <c r="H181" s="50" t="inlineStr">
        <is>
          <t>High</t>
        </is>
      </c>
      <c r="I181" s="50" t="n"/>
      <c r="J181" s="50" t="n">
        <v>8</v>
      </c>
      <c r="K181" s="47" t="inlineStr">
        <is>
          <t>QA</t>
        </is>
      </c>
      <c r="L181" s="47" t="inlineStr">
        <is>
          <t>M3 Retrieval layer</t>
        </is>
      </c>
      <c r="M181" s="47" t="inlineStr">
        <is>
          <t>qa</t>
        </is>
      </c>
      <c r="N181" s="53" t="inlineStr">
        <is>
          <t>Blocked</t>
        </is>
      </c>
      <c r="O181" s="36" t="inlineStr">
        <is>
          <t>ready: demo corpus + 20/15 set (spike/retrieval-eval/demo), retrieval:seed-corpus, retrieval:eval --answer; needs OPENAI_API_KEY + ANTHROPIC_API_KEY on staging to run against the real models</t>
        </is>
      </c>
      <c r="P181" s="36" t="inlineStr">
        <is>
          <t>2026-09-23</t>
        </is>
      </c>
    </row>
    <row r="182" ht="15" customHeight="1" s="37">
      <c r="A182" s="44" t="inlineStr">
        <is>
          <t>H4</t>
        </is>
      </c>
      <c r="B182" s="44" t="inlineStr">
        <is>
          <t>EPIC-H</t>
        </is>
      </c>
      <c r="C182" s="44" t="inlineStr">
        <is>
          <t>Story</t>
        </is>
      </c>
      <c r="D182" s="45" t="inlineStr">
        <is>
          <t>As an employee, I can ask follow-up questions in the same conversation.</t>
        </is>
      </c>
      <c r="E182" s="45" t="n"/>
      <c r="F182" s="44" t="n"/>
      <c r="G182" s="44" t="inlineStr">
        <is>
          <t>EPIC-H</t>
        </is>
      </c>
      <c r="H182" s="46" t="inlineStr">
        <is>
          <t>High</t>
        </is>
      </c>
      <c r="I182" s="46" t="n">
        <v>5</v>
      </c>
      <c r="J182" s="46">
        <f>SUM(J183:J184)</f>
        <v/>
      </c>
      <c r="K182" s="44" t="n"/>
      <c r="L182" s="44" t="inlineStr">
        <is>
          <t>M3 Retrieval layer</t>
        </is>
      </c>
      <c r="M182" s="44" t="inlineStr">
        <is>
          <t>p1,m3</t>
        </is>
      </c>
      <c r="N182" s="43" t="inlineStr">
        <is>
          <t>Done</t>
        </is>
      </c>
      <c r="O182" s="36" t="inlineStr">
        <is>
          <t>2/2 sub-tasks done</t>
        </is>
      </c>
      <c r="P182" s="36" t="inlineStr">
        <is>
          <t>2026-09-23</t>
        </is>
      </c>
    </row>
    <row r="183" ht="15" customHeight="1" s="37">
      <c r="A183" s="47" t="inlineStr">
        <is>
          <t>H4-T1</t>
        </is>
      </c>
      <c r="B183" s="47" t="inlineStr">
        <is>
          <t>H4</t>
        </is>
      </c>
      <c r="C183" s="47" t="inlineStr">
        <is>
          <t>Sub-task</t>
        </is>
      </c>
      <c r="D183" s="48" t="inlineStr">
        <is>
          <t>Session history and context window management</t>
        </is>
      </c>
      <c r="E183" s="49" t="n"/>
      <c r="F183" s="47" t="n"/>
      <c r="G183" s="47" t="n"/>
      <c r="H183" s="50" t="inlineStr">
        <is>
          <t>High</t>
        </is>
      </c>
      <c r="I183" s="50" t="n"/>
      <c r="J183" s="50" t="n">
        <v>8</v>
      </c>
      <c r="K183" s="47" t="inlineStr">
        <is>
          <t>Backend</t>
        </is>
      </c>
      <c r="L183" s="47" t="inlineStr">
        <is>
          <t>M3 Retrieval layer</t>
        </is>
      </c>
      <c r="M183" s="47" t="inlineStr">
        <is>
          <t>backend</t>
        </is>
      </c>
      <c r="N183" s="43" t="inlineStr">
        <is>
          <t>Done</t>
        </is>
      </c>
      <c r="O183" s="36" t="inlineStr">
        <is>
          <t>Conversation::history — 6 turns / 6,000 chars / 1,500 per turn, access-checked; standalone query for retrieval</t>
        </is>
      </c>
      <c r="P183" s="36" t="inlineStr">
        <is>
          <t>2026-09-23</t>
        </is>
      </c>
    </row>
    <row r="184" ht="15" customHeight="1" s="37">
      <c r="A184" s="47" t="inlineStr">
        <is>
          <t>H4-T2</t>
        </is>
      </c>
      <c r="B184" s="47" t="inlineStr">
        <is>
          <t>H4</t>
        </is>
      </c>
      <c r="C184" s="47" t="inlineStr">
        <is>
          <t>Sub-task</t>
        </is>
      </c>
      <c r="D184" s="48" t="inlineStr">
        <is>
          <t>Multi-turn context retention tests</t>
        </is>
      </c>
      <c r="E184" s="49" t="n"/>
      <c r="F184" s="47" t="n"/>
      <c r="G184" s="47" t="n"/>
      <c r="H184" s="50" t="inlineStr">
        <is>
          <t>High</t>
        </is>
      </c>
      <c r="I184" s="50" t="n"/>
      <c r="J184" s="50" t="n">
        <v>4</v>
      </c>
      <c r="K184" s="47" t="inlineStr">
        <is>
          <t>QA</t>
        </is>
      </c>
      <c r="L184" s="47" t="inlineStr">
        <is>
          <t>M3 Retrieval layer</t>
        </is>
      </c>
      <c r="M184" s="47" t="inlineStr">
        <is>
          <t>qa</t>
        </is>
      </c>
      <c r="N184" s="43" t="inlineStr">
        <is>
          <t>Done</t>
        </is>
      </c>
      <c r="O184" s="36" t="inlineStr">
        <is>
          <t>ChatConversationTest: follow-up rewrite ([condense]), bounded history, no replay after access loss, scoped sessions, privacy, turn order</t>
        </is>
      </c>
      <c r="P184" s="36" t="inlineStr">
        <is>
          <t>2026-09-23</t>
        </is>
      </c>
    </row>
    <row r="185" ht="15" customHeight="1" s="37">
      <c r="A185" s="44" t="inlineStr">
        <is>
          <t>H5</t>
        </is>
      </c>
      <c r="B185" s="44" t="inlineStr">
        <is>
          <t>EPIC-H</t>
        </is>
      </c>
      <c r="C185" s="44" t="inlineStr">
        <is>
          <t>Story</t>
        </is>
      </c>
      <c r="D185" s="45" t="inlineStr">
        <is>
          <t>As an employee, I can rate an answer helpful or not.</t>
        </is>
      </c>
      <c r="E185" s="45" t="n"/>
      <c r="F185" s="44" t="n"/>
      <c r="G185" s="44" t="inlineStr">
        <is>
          <t>EPIC-H</t>
        </is>
      </c>
      <c r="H185" s="46" t="inlineStr">
        <is>
          <t>High</t>
        </is>
      </c>
      <c r="I185" s="46" t="n">
        <v>3</v>
      </c>
      <c r="J185" s="46">
        <f>SUM(J186:J187)</f>
        <v/>
      </c>
      <c r="K185" s="44" t="n"/>
      <c r="L185" s="44" t="inlineStr">
        <is>
          <t>M3 Retrieval layer</t>
        </is>
      </c>
      <c r="M185" s="44" t="inlineStr">
        <is>
          <t>p1,m3</t>
        </is>
      </c>
      <c r="N185" s="43" t="inlineStr">
        <is>
          <t>Done</t>
        </is>
      </c>
      <c r="O185" s="36" t="inlineStr">
        <is>
          <t>2/2 sub-tasks done</t>
        </is>
      </c>
      <c r="P185" s="36" t="inlineStr">
        <is>
          <t>2026-09-23</t>
        </is>
      </c>
    </row>
    <row r="186" ht="15" customHeight="1" s="37">
      <c r="A186" s="47" t="inlineStr">
        <is>
          <t>H5-T1</t>
        </is>
      </c>
      <c r="B186" s="47" t="inlineStr">
        <is>
          <t>H5</t>
        </is>
      </c>
      <c r="C186" s="47" t="inlineStr">
        <is>
          <t>Sub-task</t>
        </is>
      </c>
      <c r="D186" s="48" t="inlineStr">
        <is>
          <t>Rating endpoint and storage on chat_messages</t>
        </is>
      </c>
      <c r="E186" s="49" t="n"/>
      <c r="F186" s="47" t="n"/>
      <c r="G186" s="47" t="n"/>
      <c r="H186" s="50" t="inlineStr">
        <is>
          <t>High</t>
        </is>
      </c>
      <c r="I186" s="50" t="n"/>
      <c r="J186" s="50" t="n">
        <v>3</v>
      </c>
      <c r="K186" s="47" t="inlineStr">
        <is>
          <t>Backend</t>
        </is>
      </c>
      <c r="L186" s="47" t="inlineStr">
        <is>
          <t>M3 Retrieval layer</t>
        </is>
      </c>
      <c r="M186" s="47" t="inlineStr">
        <is>
          <t>backend</t>
        </is>
      </c>
      <c r="N186" s="43" t="inlineStr">
        <is>
          <t>Done</t>
        </is>
      </c>
      <c r="P186" s="36" t="inlineStr">
        <is>
          <t>2026-09-22</t>
        </is>
      </c>
    </row>
    <row r="187" ht="15" customHeight="1" s="37">
      <c r="A187" s="47" t="inlineStr">
        <is>
          <t>H5-T2</t>
        </is>
      </c>
      <c r="B187" s="47" t="inlineStr">
        <is>
          <t>H5</t>
        </is>
      </c>
      <c r="C187" s="47" t="inlineStr">
        <is>
          <t>Sub-task</t>
        </is>
      </c>
      <c r="D187" s="48" t="inlineStr">
        <is>
          <t>Rating control in answer UI</t>
        </is>
      </c>
      <c r="E187" s="49" t="n"/>
      <c r="F187" s="47" t="n"/>
      <c r="G187" s="47" t="n"/>
      <c r="H187" s="50" t="inlineStr">
        <is>
          <t>High</t>
        </is>
      </c>
      <c r="I187" s="50" t="n"/>
      <c r="J187" s="50" t="n">
        <v>3</v>
      </c>
      <c r="K187" s="47" t="inlineStr">
        <is>
          <t>Frontend</t>
        </is>
      </c>
      <c r="L187" s="47" t="inlineStr">
        <is>
          <t>M3 Retrieval layer</t>
        </is>
      </c>
      <c r="M187" s="47" t="inlineStr">
        <is>
          <t>frontend</t>
        </is>
      </c>
      <c r="N187" s="43" t="inlineStr">
        <is>
          <t>Done</t>
        </is>
      </c>
      <c r="P187" s="36" t="inlineStr">
        <is>
          <t>2026-09-22</t>
        </is>
      </c>
    </row>
    <row r="188" ht="23.85" customHeight="1" s="37">
      <c r="A188" s="44" t="inlineStr">
        <is>
          <t>H6</t>
        </is>
      </c>
      <c r="B188" s="44" t="inlineStr">
        <is>
          <t>EPIC-H</t>
        </is>
      </c>
      <c r="C188" s="44" t="inlineStr">
        <is>
          <t>Story</t>
        </is>
      </c>
      <c r="D188" s="45" t="inlineStr">
        <is>
          <t>As an admin, I can see which questions were refused, so I know which SOP to record next.</t>
        </is>
      </c>
      <c r="E188" s="45" t="inlineStr">
        <is>
          <t>Turns the chatbot's failures into the customer's content roadmap.</t>
        </is>
      </c>
      <c r="F188" s="44" t="n"/>
      <c r="G188" s="44" t="inlineStr">
        <is>
          <t>EPIC-H</t>
        </is>
      </c>
      <c r="H188" s="46" t="inlineStr">
        <is>
          <t>High</t>
        </is>
      </c>
      <c r="I188" s="46" t="n">
        <v>5</v>
      </c>
      <c r="J188" s="46">
        <f>SUM(J189:J190)</f>
        <v/>
      </c>
      <c r="K188" s="44" t="n"/>
      <c r="L188" s="44" t="inlineStr">
        <is>
          <t>M3 Retrieval layer</t>
        </is>
      </c>
      <c r="M188" s="44" t="inlineStr">
        <is>
          <t>p1,m3</t>
        </is>
      </c>
      <c r="N188" s="43" t="inlineStr">
        <is>
          <t>Done</t>
        </is>
      </c>
      <c r="O188" s="36" t="inlineStr">
        <is>
          <t>2/2 sub-tasks done</t>
        </is>
      </c>
      <c r="P188" s="36" t="inlineStr">
        <is>
          <t>2026-09-23</t>
        </is>
      </c>
    </row>
    <row r="189" ht="15" customHeight="1" s="37">
      <c r="A189" s="47" t="inlineStr">
        <is>
          <t>H6-T1</t>
        </is>
      </c>
      <c r="B189" s="47" t="inlineStr">
        <is>
          <t>H6</t>
        </is>
      </c>
      <c r="C189" s="47" t="inlineStr">
        <is>
          <t>Sub-task</t>
        </is>
      </c>
      <c r="D189" s="48" t="inlineStr">
        <is>
          <t>Refused query aggregation and ranking</t>
        </is>
      </c>
      <c r="E189" s="49" t="n"/>
      <c r="F189" s="47" t="n"/>
      <c r="G189" s="47" t="n"/>
      <c r="H189" s="50" t="inlineStr">
        <is>
          <t>High</t>
        </is>
      </c>
      <c r="I189" s="50" t="n"/>
      <c r="J189" s="50" t="n">
        <v>6</v>
      </c>
      <c r="K189" s="47" t="inlineStr">
        <is>
          <t>Backend</t>
        </is>
      </c>
      <c r="L189" s="47" t="inlineStr">
        <is>
          <t>M3 Retrieval layer</t>
        </is>
      </c>
      <c r="M189" s="47" t="inlineStr">
        <is>
          <t>backend</t>
        </is>
      </c>
      <c r="N189" s="43" t="inlineStr">
        <is>
          <t>Done</t>
        </is>
      </c>
      <c r="O189" s="36" t="inlineStr">
        <is>
          <t>grouped by meaning (FR-614): embeddings, cosine ≥ 0.8, labelled by most-asked phrasing with variants</t>
        </is>
      </c>
      <c r="P189" s="36" t="inlineStr">
        <is>
          <t>2026-09-23</t>
        </is>
      </c>
    </row>
    <row r="190" ht="15" customHeight="1" s="37">
      <c r="A190" s="47" t="inlineStr">
        <is>
          <t>H6-T2</t>
        </is>
      </c>
      <c r="B190" s="47" t="inlineStr">
        <is>
          <t>H6</t>
        </is>
      </c>
      <c r="C190" s="47" t="inlineStr">
        <is>
          <t>Sub-task</t>
        </is>
      </c>
      <c r="D190" s="48" t="inlineStr">
        <is>
          <t>Knowledge gaps screen with Record-this action (S20)</t>
        </is>
      </c>
      <c r="E190" s="49" t="n"/>
      <c r="F190" s="47" t="n"/>
      <c r="G190" s="47" t="n"/>
      <c r="H190" s="50" t="inlineStr">
        <is>
          <t>High</t>
        </is>
      </c>
      <c r="I190" s="50" t="n"/>
      <c r="J190" s="50" t="n">
        <v>10</v>
      </c>
      <c r="K190" s="47" t="inlineStr">
        <is>
          <t>Frontend</t>
        </is>
      </c>
      <c r="L190" s="47" t="inlineStr">
        <is>
          <t>M3 Retrieval layer</t>
        </is>
      </c>
      <c r="M190" s="47" t="inlineStr">
        <is>
          <t>frontend</t>
        </is>
      </c>
      <c r="N190" s="43" t="inlineStr">
        <is>
          <t>Done</t>
        </is>
      </c>
      <c r="O190" s="36" t="inlineStr">
        <is>
          <t>S20</t>
        </is>
      </c>
      <c r="P190" s="36" t="inlineStr">
        <is>
          <t>2026-09-22</t>
        </is>
      </c>
    </row>
    <row r="191" ht="15" customHeight="1" s="37">
      <c r="A191" s="40" t="inlineStr">
        <is>
          <t>EPIC-I</t>
        </is>
      </c>
      <c r="B191" s="40" t="n"/>
      <c r="C191" s="40" t="inlineStr">
        <is>
          <t>Epic</t>
        </is>
      </c>
      <c r="D191" s="41" t="inlineStr">
        <is>
          <t>I — AI utilities</t>
        </is>
      </c>
      <c r="E191" s="41" t="inlineStr">
        <is>
          <t>Rewrite, translation and instant answers.</t>
        </is>
      </c>
      <c r="F191" s="40" t="inlineStr">
        <is>
          <t>AI utilities</t>
        </is>
      </c>
      <c r="G191" s="40" t="n"/>
      <c r="H191" s="42" t="n"/>
      <c r="I191" s="42">
        <f>SUMIFS(I$2:I$273,G$2:G$273,"EPIC-I",C$2:C$273,"Story")</f>
        <v/>
      </c>
      <c r="J191" s="42">
        <f>SUMIFS(J$2:J$273,G$2:G$273,"EPIC-I",C$2:C$273,"Story")</f>
        <v/>
      </c>
      <c r="K191" s="40" t="n"/>
      <c r="L191" s="40" t="n"/>
      <c r="M191" s="40" t="inlineStr">
        <is>
          <t>epic</t>
        </is>
      </c>
      <c r="N191" s="43" t="inlineStr">
        <is>
          <t>Done</t>
        </is>
      </c>
      <c r="O191" s="36" t="inlineStr">
        <is>
          <t>10/10 sub-tasks done, 4/4 stories done</t>
        </is>
      </c>
      <c r="P191" s="36" t="inlineStr">
        <is>
          <t>2026-09-23</t>
        </is>
      </c>
    </row>
    <row r="192" ht="23.85" customHeight="1" s="37">
      <c r="A192" s="44" t="inlineStr">
        <is>
          <t>I1</t>
        </is>
      </c>
      <c r="B192" s="44" t="inlineStr">
        <is>
          <t>EPIC-I</t>
        </is>
      </c>
      <c r="C192" s="44" t="inlineStr">
        <is>
          <t>Story</t>
        </is>
      </c>
      <c r="D192" s="45" t="inlineStr">
        <is>
          <t>As an editor, I can have AI rewrite rough notes into clear procedure language, shown as a proposal I accept or reject.</t>
        </is>
      </c>
      <c r="E192" s="45" t="inlineStr">
        <is>
          <t>Never applied silently. The server never mutates a document from an AI call.</t>
        </is>
      </c>
      <c r="F192" s="44" t="n"/>
      <c r="G192" s="44" t="inlineStr">
        <is>
          <t>EPIC-I</t>
        </is>
      </c>
      <c r="H192" s="46" t="inlineStr">
        <is>
          <t>High</t>
        </is>
      </c>
      <c r="I192" s="46" t="n">
        <v>8</v>
      </c>
      <c r="J192" s="46">
        <f>SUM(J193:J195)</f>
        <v/>
      </c>
      <c r="K192" s="44" t="n"/>
      <c r="L192" s="44" t="inlineStr">
        <is>
          <t>M4 Open paid tiers</t>
        </is>
      </c>
      <c r="M192" s="44" t="inlineStr">
        <is>
          <t>p1,m4</t>
        </is>
      </c>
      <c r="N192" s="43" t="inlineStr">
        <is>
          <t>Done</t>
        </is>
      </c>
      <c r="O192" s="36" t="inlineStr">
        <is>
          <t>3/3 sub-tasks done</t>
        </is>
      </c>
      <c r="P192" s="36" t="inlineStr">
        <is>
          <t>2026-09-23</t>
        </is>
      </c>
    </row>
    <row r="193" ht="15" customHeight="1" s="37">
      <c r="A193" s="47" t="inlineStr">
        <is>
          <t>I1-T1</t>
        </is>
      </c>
      <c r="B193" s="47" t="inlineStr">
        <is>
          <t>I1</t>
        </is>
      </c>
      <c r="C193" s="47" t="inlineStr">
        <is>
          <t>Sub-task</t>
        </is>
      </c>
      <c r="D193" s="48" t="inlineStr">
        <is>
          <t>Rewrite endpoint returning a proposal</t>
        </is>
      </c>
      <c r="E193" s="49" t="n"/>
      <c r="F193" s="47" t="n"/>
      <c r="G193" s="47" t="n"/>
      <c r="H193" s="50" t="inlineStr">
        <is>
          <t>High</t>
        </is>
      </c>
      <c r="I193" s="50" t="n"/>
      <c r="J193" s="50" t="n">
        <v>8</v>
      </c>
      <c r="K193" s="47" t="inlineStr">
        <is>
          <t>AI/Pipeline</t>
        </is>
      </c>
      <c r="L193" s="47" t="inlineStr">
        <is>
          <t>M4 Open paid tiers</t>
        </is>
      </c>
      <c r="M193" s="47" t="inlineStr">
        <is>
          <t>ai-pipeline</t>
        </is>
      </c>
      <c r="N193" s="43" t="inlineStr">
        <is>
          <t>Done</t>
        </is>
      </c>
      <c r="O193" s="36" t="inlineStr">
        <is>
          <t>POST /ai/rewrite; f826ebd</t>
        </is>
      </c>
      <c r="P193" s="36" t="inlineStr">
        <is>
          <t>2026-09-22</t>
        </is>
      </c>
    </row>
    <row r="194" ht="15" customHeight="1" s="37">
      <c r="A194" s="47" t="inlineStr">
        <is>
          <t>I1-T2</t>
        </is>
      </c>
      <c r="B194" s="47" t="inlineStr">
        <is>
          <t>I1</t>
        </is>
      </c>
      <c r="C194" s="47" t="inlineStr">
        <is>
          <t>Sub-task</t>
        </is>
      </c>
      <c r="D194" s="48" t="inlineStr">
        <is>
          <t>Side-by-side accept and reject panel</t>
        </is>
      </c>
      <c r="E194" s="49" t="n"/>
      <c r="F194" s="47" t="n"/>
      <c r="G194" s="47" t="n"/>
      <c r="H194" s="50" t="inlineStr">
        <is>
          <t>High</t>
        </is>
      </c>
      <c r="I194" s="50" t="n"/>
      <c r="J194" s="50" t="n">
        <v>12</v>
      </c>
      <c r="K194" s="47" t="inlineStr">
        <is>
          <t>Frontend</t>
        </is>
      </c>
      <c r="L194" s="47" t="inlineStr">
        <is>
          <t>M4 Open paid tiers</t>
        </is>
      </c>
      <c r="M194" s="47" t="inlineStr">
        <is>
          <t>frontend</t>
        </is>
      </c>
      <c r="N194" s="43" t="inlineStr">
        <is>
          <t>Done</t>
        </is>
      </c>
      <c r="O194" s="36" t="inlineStr">
        <is>
          <t>assist panel</t>
        </is>
      </c>
      <c r="P194" s="36" t="inlineStr">
        <is>
          <t>2026-09-22</t>
        </is>
      </c>
    </row>
    <row r="195" ht="15" customHeight="1" s="37">
      <c r="A195" s="47" t="inlineStr">
        <is>
          <t>I1-T3</t>
        </is>
      </c>
      <c r="B195" s="47" t="inlineStr">
        <is>
          <t>I1</t>
        </is>
      </c>
      <c r="C195" s="47" t="inlineStr">
        <is>
          <t>Sub-task</t>
        </is>
      </c>
      <c r="D195" s="48" t="inlineStr">
        <is>
          <t>Never-auto-apply guard and regression test</t>
        </is>
      </c>
      <c r="E195" s="49" t="n"/>
      <c r="F195" s="47" t="n"/>
      <c r="G195" s="47" t="n"/>
      <c r="H195" s="50" t="inlineStr">
        <is>
          <t>High</t>
        </is>
      </c>
      <c r="I195" s="50" t="n"/>
      <c r="J195" s="50" t="n">
        <v>4</v>
      </c>
      <c r="K195" s="47" t="inlineStr">
        <is>
          <t>QA</t>
        </is>
      </c>
      <c r="L195" s="47" t="inlineStr">
        <is>
          <t>M4 Open paid tiers</t>
        </is>
      </c>
      <c r="M195" s="47" t="inlineStr">
        <is>
          <t>qa</t>
        </is>
      </c>
      <c r="N195" s="43" t="inlineStr">
        <is>
          <t>Done</t>
        </is>
      </c>
      <c r="O195" s="36" t="inlineStr">
        <is>
          <t>AssistanceTest</t>
        </is>
      </c>
      <c r="P195" s="36" t="inlineStr">
        <is>
          <t>2026-09-22</t>
        </is>
      </c>
    </row>
    <row r="196" ht="23.85" customHeight="1" s="37">
      <c r="A196" s="44" t="inlineStr">
        <is>
          <t>I2</t>
        </is>
      </c>
      <c r="B196" s="44" t="inlineStr">
        <is>
          <t>EPIC-I</t>
        </is>
      </c>
      <c r="C196" s="44" t="inlineStr">
        <is>
          <t>Story</t>
        </is>
      </c>
      <c r="D196" s="45" t="inlineStr">
        <is>
          <t>As an editor, I can translate a document with one click into a linked translation.</t>
        </is>
      </c>
      <c r="E196" s="45" t="inlineStr">
        <is>
          <t>Creates a linked translation rather than replacing the source.</t>
        </is>
      </c>
      <c r="F196" s="44" t="n"/>
      <c r="G196" s="44" t="inlineStr">
        <is>
          <t>EPIC-I</t>
        </is>
      </c>
      <c r="H196" s="46" t="inlineStr">
        <is>
          <t>High</t>
        </is>
      </c>
      <c r="I196" s="46" t="n">
        <v>8</v>
      </c>
      <c r="J196" s="46">
        <f>SUM(J197:J199)</f>
        <v/>
      </c>
      <c r="K196" s="44" t="n"/>
      <c r="L196" s="44" t="inlineStr">
        <is>
          <t>M4 Open paid tiers</t>
        </is>
      </c>
      <c r="M196" s="44" t="inlineStr">
        <is>
          <t>p1,m4</t>
        </is>
      </c>
      <c r="N196" s="43" t="inlineStr">
        <is>
          <t>Done</t>
        </is>
      </c>
      <c r="O196" s="36" t="inlineStr">
        <is>
          <t>3/3 sub-tasks done</t>
        </is>
      </c>
      <c r="P196" s="36" t="inlineStr">
        <is>
          <t>2026-09-23</t>
        </is>
      </c>
    </row>
    <row r="197" ht="15" customHeight="1" s="37">
      <c r="A197" s="47" t="inlineStr">
        <is>
          <t>I2-T1</t>
        </is>
      </c>
      <c r="B197" s="47" t="inlineStr">
        <is>
          <t>I2</t>
        </is>
      </c>
      <c r="C197" s="47" t="inlineStr">
        <is>
          <t>Sub-task</t>
        </is>
      </c>
      <c r="D197" s="48" t="inlineStr">
        <is>
          <t>Translation endpoint creating a linked document</t>
        </is>
      </c>
      <c r="E197" s="49" t="n"/>
      <c r="F197" s="47" t="n"/>
      <c r="G197" s="47" t="n"/>
      <c r="H197" s="50" t="inlineStr">
        <is>
          <t>High</t>
        </is>
      </c>
      <c r="I197" s="50" t="n"/>
      <c r="J197" s="50" t="n">
        <v>8</v>
      </c>
      <c r="K197" s="47" t="inlineStr">
        <is>
          <t>AI/Pipeline</t>
        </is>
      </c>
      <c r="L197" s="47" t="inlineStr">
        <is>
          <t>M4 Open paid tiers</t>
        </is>
      </c>
      <c r="M197" s="47" t="inlineStr">
        <is>
          <t>ai-pipeline</t>
        </is>
      </c>
      <c r="N197" s="43" t="inlineStr">
        <is>
          <t>Done</t>
        </is>
      </c>
      <c r="O197" s="36" t="inlineStr">
        <is>
          <t>POST /ai/translate</t>
        </is>
      </c>
      <c r="P197" s="36" t="inlineStr">
        <is>
          <t>2026-09-22</t>
        </is>
      </c>
    </row>
    <row r="198" ht="15" customHeight="1" s="37">
      <c r="A198" s="47" t="inlineStr">
        <is>
          <t>I2-T2</t>
        </is>
      </c>
      <c r="B198" s="47" t="inlineStr">
        <is>
          <t>I2</t>
        </is>
      </c>
      <c r="C198" s="47" t="inlineStr">
        <is>
          <t>Sub-task</t>
        </is>
      </c>
      <c r="D198" s="48" t="inlineStr">
        <is>
          <t>Translation UI and language picker</t>
        </is>
      </c>
      <c r="E198" s="49" t="n"/>
      <c r="F198" s="47" t="n"/>
      <c r="G198" s="47" t="n"/>
      <c r="H198" s="50" t="inlineStr">
        <is>
          <t>High</t>
        </is>
      </c>
      <c r="I198" s="50" t="n"/>
      <c r="J198" s="50" t="n">
        <v>8</v>
      </c>
      <c r="K198" s="47" t="inlineStr">
        <is>
          <t>Frontend</t>
        </is>
      </c>
      <c r="L198" s="47" t="inlineStr">
        <is>
          <t>M4 Open paid tiers</t>
        </is>
      </c>
      <c r="M198" s="47" t="inlineStr">
        <is>
          <t>frontend</t>
        </is>
      </c>
      <c r="N198" s="43" t="inlineStr">
        <is>
          <t>Done</t>
        </is>
      </c>
      <c r="P198" s="36" t="inlineStr">
        <is>
          <t>2026-09-22</t>
        </is>
      </c>
    </row>
    <row r="199" ht="15" customHeight="1" s="37">
      <c r="A199" s="47" t="inlineStr">
        <is>
          <t>I2-T3</t>
        </is>
      </c>
      <c r="B199" s="47" t="inlineStr">
        <is>
          <t>I2</t>
        </is>
      </c>
      <c r="C199" s="47" t="inlineStr">
        <is>
          <t>Sub-task</t>
        </is>
      </c>
      <c r="D199" s="48" t="inlineStr">
        <is>
          <t>Bidirectional translation link model</t>
        </is>
      </c>
      <c r="E199" s="49" t="n"/>
      <c r="F199" s="47" t="n"/>
      <c r="G199" s="47" t="n"/>
      <c r="H199" s="50" t="inlineStr">
        <is>
          <t>High</t>
        </is>
      </c>
      <c r="I199" s="50" t="n"/>
      <c r="J199" s="50" t="n">
        <v>5</v>
      </c>
      <c r="K199" s="47" t="inlineStr">
        <is>
          <t>Database</t>
        </is>
      </c>
      <c r="L199" s="47" t="inlineStr">
        <is>
          <t>M4 Open paid tiers</t>
        </is>
      </c>
      <c r="M199" s="47" t="inlineStr">
        <is>
          <t>database</t>
        </is>
      </c>
      <c r="N199" s="43" t="inlineStr">
        <is>
          <t>Done</t>
        </is>
      </c>
      <c r="O199" s="36" t="inlineStr">
        <is>
          <t>Document::source()/translations(); GET /documents/{id} and /published return source + translations (visible, published-only for readers); reader/editor links; assist panel blocks duplicate languages</t>
        </is>
      </c>
      <c r="P199" s="36" t="inlineStr">
        <is>
          <t>2026-09-23</t>
        </is>
      </c>
    </row>
    <row r="200" ht="15" customHeight="1" s="37">
      <c r="A200" s="44" t="inlineStr">
        <is>
          <t>I3</t>
        </is>
      </c>
      <c r="B200" s="44" t="inlineStr">
        <is>
          <t>EPIC-I</t>
        </is>
      </c>
      <c r="C200" s="44" t="inlineStr">
        <is>
          <t>Story</t>
        </is>
      </c>
      <c r="D200" s="45" t="inlineStr">
        <is>
          <t>As an editor, a translation is flagged stale when its source is re-approved.</t>
        </is>
      </c>
      <c r="E200" s="45" t="n"/>
      <c r="F200" s="44" t="n"/>
      <c r="G200" s="44" t="inlineStr">
        <is>
          <t>EPIC-I</t>
        </is>
      </c>
      <c r="H200" s="46" t="inlineStr">
        <is>
          <t>Medium</t>
        </is>
      </c>
      <c r="I200" s="46" t="n">
        <v>5</v>
      </c>
      <c r="J200" s="46">
        <f>SUM(J201:J202)</f>
        <v/>
      </c>
      <c r="K200" s="44" t="n"/>
      <c r="L200" s="44" t="inlineStr">
        <is>
          <t>M4 Open paid tiers</t>
        </is>
      </c>
      <c r="M200" s="44" t="inlineStr">
        <is>
          <t>p2,m4</t>
        </is>
      </c>
      <c r="N200" s="43" t="inlineStr">
        <is>
          <t>Done</t>
        </is>
      </c>
      <c r="O200" s="36" t="inlineStr">
        <is>
          <t>2/2 sub-tasks done</t>
        </is>
      </c>
      <c r="P200" s="36" t="inlineStr">
        <is>
          <t>2026-09-23</t>
        </is>
      </c>
    </row>
    <row r="201" ht="15" customHeight="1" s="37">
      <c r="A201" s="47" t="inlineStr">
        <is>
          <t>I3-T1</t>
        </is>
      </c>
      <c r="B201" s="47" t="inlineStr">
        <is>
          <t>I3</t>
        </is>
      </c>
      <c r="C201" s="47" t="inlineStr">
        <is>
          <t>Sub-task</t>
        </is>
      </c>
      <c r="D201" s="48" t="inlineStr">
        <is>
          <t>Stale trigger on source re-approval</t>
        </is>
      </c>
      <c r="E201" s="49" t="n"/>
      <c r="F201" s="47" t="n"/>
      <c r="G201" s="47" t="n"/>
      <c r="H201" s="50" t="inlineStr">
        <is>
          <t>Medium</t>
        </is>
      </c>
      <c r="I201" s="50" t="n"/>
      <c r="J201" s="50" t="n">
        <v>4</v>
      </c>
      <c r="K201" s="47" t="inlineStr">
        <is>
          <t>Database</t>
        </is>
      </c>
      <c r="L201" s="47" t="inlineStr">
        <is>
          <t>M4 Open paid tiers</t>
        </is>
      </c>
      <c r="M201" s="47" t="inlineStr">
        <is>
          <t>database</t>
        </is>
      </c>
      <c r="N201" s="43" t="inlineStr">
        <is>
          <t>Done</t>
        </is>
      </c>
      <c r="O201" s="36" t="inlineStr">
        <is>
          <t>Workflow::approve sets translation_stale</t>
        </is>
      </c>
      <c r="P201" s="36" t="inlineStr">
        <is>
          <t>2026-09-22</t>
        </is>
      </c>
    </row>
    <row r="202" ht="15" customHeight="1" s="37">
      <c r="A202" s="47" t="inlineStr">
        <is>
          <t>I3-T2</t>
        </is>
      </c>
      <c r="B202" s="47" t="inlineStr">
        <is>
          <t>I3</t>
        </is>
      </c>
      <c r="C202" s="47" t="inlineStr">
        <is>
          <t>Sub-task</t>
        </is>
      </c>
      <c r="D202" s="48" t="inlineStr">
        <is>
          <t>Stale indicator in reader and document list</t>
        </is>
      </c>
      <c r="E202" s="49" t="n"/>
      <c r="F202" s="47" t="n"/>
      <c r="G202" s="47" t="n"/>
      <c r="H202" s="50" t="inlineStr">
        <is>
          <t>Medium</t>
        </is>
      </c>
      <c r="I202" s="50" t="n"/>
      <c r="J202" s="50" t="n">
        <v>5</v>
      </c>
      <c r="K202" s="47" t="inlineStr">
        <is>
          <t>Frontend</t>
        </is>
      </c>
      <c r="L202" s="47" t="inlineStr">
        <is>
          <t>M4 Open paid tiers</t>
        </is>
      </c>
      <c r="M202" s="47" t="inlineStr">
        <is>
          <t>frontend</t>
        </is>
      </c>
      <c r="N202" s="43" t="inlineStr">
        <is>
          <t>Done</t>
        </is>
      </c>
      <c r="O202" s="36" t="inlineStr">
        <is>
          <t>reader banner + source link, editor banner + source link, space browser shows language tag and "out of date"</t>
        </is>
      </c>
      <c r="P202" s="36" t="inlineStr">
        <is>
          <t>2026-09-23</t>
        </is>
      </c>
    </row>
    <row r="203" ht="15" customHeight="1" s="37">
      <c r="A203" s="44" t="inlineStr">
        <is>
          <t>I4</t>
        </is>
      </c>
      <c r="B203" s="44" t="inlineStr">
        <is>
          <t>EPIC-I</t>
        </is>
      </c>
      <c r="C203" s="44" t="inlineStr">
        <is>
          <t>Story</t>
        </is>
      </c>
      <c r="D203" s="45" t="inlineStr">
        <is>
          <t>As a user, search shows a direct instant answer above the result list.</t>
        </is>
      </c>
      <c r="E203" s="45" t="inlineStr">
        <is>
          <t>Styled as a document extract, not a chat bubble.</t>
        </is>
      </c>
      <c r="F203" s="44" t="n"/>
      <c r="G203" s="44" t="inlineStr">
        <is>
          <t>EPIC-I</t>
        </is>
      </c>
      <c r="H203" s="46" t="inlineStr">
        <is>
          <t>Medium</t>
        </is>
      </c>
      <c r="I203" s="46" t="n">
        <v>5</v>
      </c>
      <c r="J203" s="46">
        <f>SUM(J204:J205)</f>
        <v/>
      </c>
      <c r="K203" s="44" t="n"/>
      <c r="L203" s="44" t="inlineStr">
        <is>
          <t>M4 Open paid tiers</t>
        </is>
      </c>
      <c r="M203" s="44" t="inlineStr">
        <is>
          <t>p2,m4</t>
        </is>
      </c>
      <c r="N203" s="43" t="inlineStr">
        <is>
          <t>Done</t>
        </is>
      </c>
      <c r="O203" s="36" t="inlineStr">
        <is>
          <t>2/2 sub-tasks done</t>
        </is>
      </c>
      <c r="P203" s="36" t="inlineStr">
        <is>
          <t>2026-09-23</t>
        </is>
      </c>
    </row>
    <row r="204" ht="15" customHeight="1" s="37">
      <c r="A204" s="47" t="inlineStr">
        <is>
          <t>I4-T1</t>
        </is>
      </c>
      <c r="B204" s="47" t="inlineStr">
        <is>
          <t>I4</t>
        </is>
      </c>
      <c r="C204" s="47" t="inlineStr">
        <is>
          <t>Sub-task</t>
        </is>
      </c>
      <c r="D204" s="48" t="inlineStr">
        <is>
          <t>Instant answer generation from top result</t>
        </is>
      </c>
      <c r="E204" s="49" t="n"/>
      <c r="F204" s="47" t="n"/>
      <c r="G204" s="47" t="n"/>
      <c r="H204" s="50" t="inlineStr">
        <is>
          <t>Medium</t>
        </is>
      </c>
      <c r="I204" s="50" t="n"/>
      <c r="J204" s="50" t="n">
        <v>6</v>
      </c>
      <c r="K204" s="47" t="inlineStr">
        <is>
          <t>AI/Pipeline</t>
        </is>
      </c>
      <c r="L204" s="47" t="inlineStr">
        <is>
          <t>M4 Open paid tiers</t>
        </is>
      </c>
      <c r="M204" s="47" t="inlineStr">
        <is>
          <t>ai-pipeline</t>
        </is>
      </c>
      <c r="N204" s="43" t="inlineStr">
        <is>
          <t>Done</t>
        </is>
      </c>
      <c r="P204" s="36" t="inlineStr">
        <is>
          <t>2026-09-22</t>
        </is>
      </c>
    </row>
    <row r="205" ht="15" customHeight="1" s="37">
      <c r="A205" s="47" t="inlineStr">
        <is>
          <t>I4-T2</t>
        </is>
      </c>
      <c r="B205" s="47" t="inlineStr">
        <is>
          <t>I4</t>
        </is>
      </c>
      <c r="C205" s="47" t="inlineStr">
        <is>
          <t>Sub-task</t>
        </is>
      </c>
      <c r="D205" s="48" t="inlineStr">
        <is>
          <t>Instant answer block in search (S14)</t>
        </is>
      </c>
      <c r="E205" s="49" t="n"/>
      <c r="F205" s="47" t="n"/>
      <c r="G205" s="47" t="n"/>
      <c r="H205" s="50" t="inlineStr">
        <is>
          <t>Medium</t>
        </is>
      </c>
      <c r="I205" s="50" t="n"/>
      <c r="J205" s="50" t="n">
        <v>7</v>
      </c>
      <c r="K205" s="47" t="inlineStr">
        <is>
          <t>Frontend</t>
        </is>
      </c>
      <c r="L205" s="47" t="inlineStr">
        <is>
          <t>M4 Open paid tiers</t>
        </is>
      </c>
      <c r="M205" s="47" t="inlineStr">
        <is>
          <t>frontend</t>
        </is>
      </c>
      <c r="N205" s="43" t="inlineStr">
        <is>
          <t>Done</t>
        </is>
      </c>
      <c r="P205" s="36" t="inlineStr">
        <is>
          <t>2026-09-22</t>
        </is>
      </c>
    </row>
    <row r="206" ht="15" customHeight="1" s="37">
      <c r="A206" s="40" t="inlineStr">
        <is>
          <t>EPIC-J</t>
        </is>
      </c>
      <c r="B206" s="40" t="n"/>
      <c r="C206" s="40" t="inlineStr">
        <is>
          <t>Epic</t>
        </is>
      </c>
      <c r="D206" s="41" t="inlineStr">
        <is>
          <t>J — Handbook &amp; acknowledgements</t>
        </is>
      </c>
      <c r="E206" s="41" t="inlineStr">
        <is>
          <t>Policy distribution and proof that people read it.</t>
        </is>
      </c>
      <c r="F206" s="40" t="inlineStr">
        <is>
          <t>Handbook &amp; acknowledgements</t>
        </is>
      </c>
      <c r="G206" s="40" t="n"/>
      <c r="H206" s="42" t="n"/>
      <c r="I206" s="42">
        <f>SUMIFS(I$2:I$273,G$2:G$273,"EPIC-J",C$2:C$273,"Story")</f>
        <v/>
      </c>
      <c r="J206" s="42">
        <f>SUMIFS(J$2:J$273,G$2:G$273,"EPIC-J",C$2:C$273,"Story")</f>
        <v/>
      </c>
      <c r="K206" s="40" t="n"/>
      <c r="L206" s="40" t="n"/>
      <c r="M206" s="40" t="inlineStr">
        <is>
          <t>epic</t>
        </is>
      </c>
      <c r="N206" s="43" t="inlineStr">
        <is>
          <t>Done</t>
        </is>
      </c>
      <c r="O206" s="36" t="inlineStr">
        <is>
          <t>10/10 sub-tasks done, 5/5 stories done</t>
        </is>
      </c>
      <c r="P206" s="36" t="inlineStr">
        <is>
          <t>2026-09-22</t>
        </is>
      </c>
    </row>
    <row r="207" ht="23.85" customHeight="1" s="37">
      <c r="A207" s="44" t="inlineStr">
        <is>
          <t>J1</t>
        </is>
      </c>
      <c r="B207" s="44" t="inlineStr">
        <is>
          <t>EPIC-J</t>
        </is>
      </c>
      <c r="C207" s="44" t="inlineStr">
        <is>
          <t>Story</t>
        </is>
      </c>
      <c r="D207" s="45" t="inlineStr">
        <is>
          <t>As an HR manager, I can designate a space as the employee handbook with an ordered reader view.</t>
        </is>
      </c>
      <c r="E207" s="45" t="n"/>
      <c r="F207" s="44" t="n"/>
      <c r="G207" s="44" t="inlineStr">
        <is>
          <t>EPIC-J</t>
        </is>
      </c>
      <c r="H207" s="46" t="inlineStr">
        <is>
          <t>High</t>
        </is>
      </c>
      <c r="I207" s="46" t="n">
        <v>5</v>
      </c>
      <c r="J207" s="46">
        <f>SUM(J208:J209)</f>
        <v/>
      </c>
      <c r="K207" s="44" t="n"/>
      <c r="L207" s="44" t="inlineStr">
        <is>
          <t>M4 Open paid tiers</t>
        </is>
      </c>
      <c r="M207" s="44" t="inlineStr">
        <is>
          <t>p1,m4</t>
        </is>
      </c>
      <c r="N207" s="43" t="inlineStr">
        <is>
          <t>Done</t>
        </is>
      </c>
      <c r="O207" s="36" t="inlineStr">
        <is>
          <t>2/2 sub-tasks done</t>
        </is>
      </c>
      <c r="P207" s="36" t="inlineStr">
        <is>
          <t>2026-09-22</t>
        </is>
      </c>
    </row>
    <row r="208" ht="15" customHeight="1" s="37">
      <c r="A208" s="47" t="inlineStr">
        <is>
          <t>J1-T1</t>
        </is>
      </c>
      <c r="B208" s="47" t="inlineStr">
        <is>
          <t>J1</t>
        </is>
      </c>
      <c r="C208" s="47" t="inlineStr">
        <is>
          <t>Sub-task</t>
        </is>
      </c>
      <c r="D208" s="48" t="inlineStr">
        <is>
          <t>is_handbook flag and ordered view API</t>
        </is>
      </c>
      <c r="E208" s="49" t="n"/>
      <c r="F208" s="47" t="n"/>
      <c r="G208" s="47" t="n"/>
      <c r="H208" s="50" t="inlineStr">
        <is>
          <t>High</t>
        </is>
      </c>
      <c r="I208" s="50" t="n"/>
      <c r="J208" s="50" t="n">
        <v>5</v>
      </c>
      <c r="K208" s="47" t="inlineStr">
        <is>
          <t>Backend</t>
        </is>
      </c>
      <c r="L208" s="47" t="inlineStr">
        <is>
          <t>M4 Open paid tiers</t>
        </is>
      </c>
      <c r="M208" s="47" t="inlineStr">
        <is>
          <t>backend</t>
        </is>
      </c>
      <c r="N208" s="43" t="inlineStr">
        <is>
          <t>Done</t>
        </is>
      </c>
      <c r="O208" s="36" t="inlineStr">
        <is>
          <t>GET /handbook, PUT /handbook/order</t>
        </is>
      </c>
      <c r="P208" s="36" t="inlineStr">
        <is>
          <t>2026-09-22</t>
        </is>
      </c>
    </row>
    <row r="209" ht="15" customHeight="1" s="37">
      <c r="A209" s="47" t="inlineStr">
        <is>
          <t>J1-T2</t>
        </is>
      </c>
      <c r="B209" s="47" t="inlineStr">
        <is>
          <t>J1</t>
        </is>
      </c>
      <c r="C209" s="47" t="inlineStr">
        <is>
          <t>Sub-task</t>
        </is>
      </c>
      <c r="D209" s="48" t="inlineStr">
        <is>
          <t>Handbook reader with contents rail (S16)</t>
        </is>
      </c>
      <c r="E209" s="49" t="n"/>
      <c r="F209" s="47" t="n"/>
      <c r="G209" s="47" t="n"/>
      <c r="H209" s="50" t="inlineStr">
        <is>
          <t>High</t>
        </is>
      </c>
      <c r="I209" s="50" t="n"/>
      <c r="J209" s="50" t="n">
        <v>10</v>
      </c>
      <c r="K209" s="47" t="inlineStr">
        <is>
          <t>Frontend</t>
        </is>
      </c>
      <c r="L209" s="47" t="inlineStr">
        <is>
          <t>M4 Open paid tiers</t>
        </is>
      </c>
      <c r="M209" s="47" t="inlineStr">
        <is>
          <t>frontend</t>
        </is>
      </c>
      <c r="N209" s="43" t="inlineStr">
        <is>
          <t>Done</t>
        </is>
      </c>
      <c r="O209" s="36" t="inlineStr">
        <is>
          <t>S16; 57d4bd7</t>
        </is>
      </c>
      <c r="P209" s="36" t="inlineStr">
        <is>
          <t>2026-09-22</t>
        </is>
      </c>
    </row>
    <row r="210" ht="23.85" customHeight="1" s="37">
      <c r="A210" s="44" t="inlineStr">
        <is>
          <t>J2</t>
        </is>
      </c>
      <c r="B210" s="44" t="inlineStr">
        <is>
          <t>EPIC-J</t>
        </is>
      </c>
      <c r="C210" s="44" t="inlineStr">
        <is>
          <t>Story</t>
        </is>
      </c>
      <c r="D210" s="45" t="inlineStr">
        <is>
          <t>As an HR manager, I can require acknowledgement of a policy from assigned employees.</t>
        </is>
      </c>
      <c r="E210" s="45" t="inlineStr">
        <is>
          <t>Acknowledgement binds to a version, not a document.</t>
        </is>
      </c>
      <c r="F210" s="44" t="n"/>
      <c r="G210" s="44" t="inlineStr">
        <is>
          <t>EPIC-J</t>
        </is>
      </c>
      <c r="H210" s="46" t="inlineStr">
        <is>
          <t>High</t>
        </is>
      </c>
      <c r="I210" s="46" t="n">
        <v>8</v>
      </c>
      <c r="J210" s="46">
        <f>SUM(J211:J213)</f>
        <v/>
      </c>
      <c r="K210" s="44" t="n"/>
      <c r="L210" s="44" t="inlineStr">
        <is>
          <t>M4 Open paid tiers</t>
        </is>
      </c>
      <c r="M210" s="44" t="inlineStr">
        <is>
          <t>p1,m4</t>
        </is>
      </c>
      <c r="N210" s="43" t="inlineStr">
        <is>
          <t>Done</t>
        </is>
      </c>
      <c r="O210" s="36" t="inlineStr">
        <is>
          <t>3/3 sub-tasks done</t>
        </is>
      </c>
      <c r="P210" s="36" t="inlineStr">
        <is>
          <t>2026-09-22</t>
        </is>
      </c>
    </row>
    <row r="211" ht="15" customHeight="1" s="37">
      <c r="A211" s="47" t="inlineStr">
        <is>
          <t>J2-T1</t>
        </is>
      </c>
      <c r="B211" s="47" t="inlineStr">
        <is>
          <t>J2</t>
        </is>
      </c>
      <c r="C211" s="47" t="inlineStr">
        <is>
          <t>Sub-task</t>
        </is>
      </c>
      <c r="D211" s="48" t="inlineStr">
        <is>
          <t>acknowledgements schema, unique per version and user</t>
        </is>
      </c>
      <c r="E211" s="49" t="n"/>
      <c r="F211" s="47" t="n"/>
      <c r="G211" s="47" t="n"/>
      <c r="H211" s="50" t="inlineStr">
        <is>
          <t>High</t>
        </is>
      </c>
      <c r="I211" s="50" t="n"/>
      <c r="J211" s="50" t="n">
        <v>5</v>
      </c>
      <c r="K211" s="47" t="inlineStr">
        <is>
          <t>Database</t>
        </is>
      </c>
      <c r="L211" s="47" t="inlineStr">
        <is>
          <t>M4 Open paid tiers</t>
        </is>
      </c>
      <c r="M211" s="47" t="inlineStr">
        <is>
          <t>database</t>
        </is>
      </c>
      <c r="N211" s="43" t="inlineStr">
        <is>
          <t>Done</t>
        </is>
      </c>
      <c r="P211" s="36" t="inlineStr">
        <is>
          <t>2026-09-22</t>
        </is>
      </c>
    </row>
    <row r="212" ht="15" customHeight="1" s="37">
      <c r="A212" s="47" t="inlineStr">
        <is>
          <t>J2-T2</t>
        </is>
      </c>
      <c r="B212" s="47" t="inlineStr">
        <is>
          <t>J2</t>
        </is>
      </c>
      <c r="C212" s="47" t="inlineStr">
        <is>
          <t>Sub-task</t>
        </is>
      </c>
      <c r="D212" s="48" t="inlineStr">
        <is>
          <t>Assign acknowledgement targets API</t>
        </is>
      </c>
      <c r="E212" s="49" t="n"/>
      <c r="F212" s="47" t="n"/>
      <c r="G212" s="47" t="n"/>
      <c r="H212" s="50" t="inlineStr">
        <is>
          <t>High</t>
        </is>
      </c>
      <c r="I212" s="50" t="n"/>
      <c r="J212" s="50" t="n">
        <v>6</v>
      </c>
      <c r="K212" s="47" t="inlineStr">
        <is>
          <t>Backend</t>
        </is>
      </c>
      <c r="L212" s="47" t="inlineStr">
        <is>
          <t>M4 Open paid tiers</t>
        </is>
      </c>
      <c r="M212" s="47" t="inlineStr">
        <is>
          <t>backend</t>
        </is>
      </c>
      <c r="N212" s="43" t="inlineStr">
        <is>
          <t>Done</t>
        </is>
      </c>
      <c r="P212" s="36" t="inlineStr">
        <is>
          <t>2026-09-22</t>
        </is>
      </c>
    </row>
    <row r="213" ht="15" customHeight="1" s="37">
      <c r="A213" s="47" t="inlineStr">
        <is>
          <t>J2-T3</t>
        </is>
      </c>
      <c r="B213" s="47" t="inlineStr">
        <is>
          <t>J2</t>
        </is>
      </c>
      <c r="C213" s="47" t="inlineStr">
        <is>
          <t>Sub-task</t>
        </is>
      </c>
      <c r="D213" s="48" t="inlineStr">
        <is>
          <t>Acknowledgement tracking screen, both views (S17)</t>
        </is>
      </c>
      <c r="E213" s="49" t="n"/>
      <c r="F213" s="47" t="n"/>
      <c r="G213" s="47" t="n"/>
      <c r="H213" s="50" t="inlineStr">
        <is>
          <t>High</t>
        </is>
      </c>
      <c r="I213" s="50" t="n"/>
      <c r="J213" s="50" t="n">
        <v>12</v>
      </c>
      <c r="K213" s="47" t="inlineStr">
        <is>
          <t>Frontend</t>
        </is>
      </c>
      <c r="L213" s="47" t="inlineStr">
        <is>
          <t>M4 Open paid tiers</t>
        </is>
      </c>
      <c r="M213" s="47" t="inlineStr">
        <is>
          <t>frontend</t>
        </is>
      </c>
      <c r="N213" s="43" t="inlineStr">
        <is>
          <t>Done</t>
        </is>
      </c>
      <c r="O213" s="36" t="inlineStr">
        <is>
          <t>S17</t>
        </is>
      </c>
      <c r="P213" s="36" t="inlineStr">
        <is>
          <t>2026-09-22</t>
        </is>
      </c>
    </row>
    <row r="214" ht="23.85" customHeight="1" s="37">
      <c r="A214" s="44" t="inlineStr">
        <is>
          <t>J3</t>
        </is>
      </c>
      <c r="B214" s="44" t="inlineStr">
        <is>
          <t>EPIC-J</t>
        </is>
      </c>
      <c r="C214" s="44" t="inlineStr">
        <is>
          <t>Story</t>
        </is>
      </c>
      <c r="D214" s="45" t="inlineStr">
        <is>
          <t>As an employee, I can acknowledge a policy and it records the version and timestamp.</t>
        </is>
      </c>
      <c r="E214" s="45" t="n"/>
      <c r="F214" s="44" t="n"/>
      <c r="G214" s="44" t="inlineStr">
        <is>
          <t>EPIC-J</t>
        </is>
      </c>
      <c r="H214" s="46" t="inlineStr">
        <is>
          <t>High</t>
        </is>
      </c>
      <c r="I214" s="46" t="n">
        <v>3</v>
      </c>
      <c r="J214" s="46">
        <f>SUM(J215:J216)</f>
        <v/>
      </c>
      <c r="K214" s="44" t="n"/>
      <c r="L214" s="44" t="inlineStr">
        <is>
          <t>M4 Open paid tiers</t>
        </is>
      </c>
      <c r="M214" s="44" t="inlineStr">
        <is>
          <t>p1,m4</t>
        </is>
      </c>
      <c r="N214" s="43" t="inlineStr">
        <is>
          <t>Done</t>
        </is>
      </c>
      <c r="O214" s="36" t="inlineStr">
        <is>
          <t>2/2 sub-tasks done</t>
        </is>
      </c>
      <c r="P214" s="36" t="inlineStr">
        <is>
          <t>2026-09-22</t>
        </is>
      </c>
    </row>
    <row r="215" ht="15" customHeight="1" s="37">
      <c r="A215" s="47" t="inlineStr">
        <is>
          <t>J3-T1</t>
        </is>
      </c>
      <c r="B215" s="47" t="inlineStr">
        <is>
          <t>J3</t>
        </is>
      </c>
      <c r="C215" s="47" t="inlineStr">
        <is>
          <t>Sub-task</t>
        </is>
      </c>
      <c r="D215" s="48" t="inlineStr">
        <is>
          <t>Acknowledge endpoint</t>
        </is>
      </c>
      <c r="E215" s="49" t="n"/>
      <c r="F215" s="47" t="n"/>
      <c r="G215" s="47" t="n"/>
      <c r="H215" s="50" t="inlineStr">
        <is>
          <t>High</t>
        </is>
      </c>
      <c r="I215" s="50" t="n"/>
      <c r="J215" s="50" t="n">
        <v>3</v>
      </c>
      <c r="K215" s="47" t="inlineStr">
        <is>
          <t>Backend</t>
        </is>
      </c>
      <c r="L215" s="47" t="inlineStr">
        <is>
          <t>M4 Open paid tiers</t>
        </is>
      </c>
      <c r="M215" s="47" t="inlineStr">
        <is>
          <t>backend</t>
        </is>
      </c>
      <c r="N215" s="43" t="inlineStr">
        <is>
          <t>Done</t>
        </is>
      </c>
      <c r="P215" s="36" t="inlineStr">
        <is>
          <t>2026-09-22</t>
        </is>
      </c>
    </row>
    <row r="216" ht="15" customHeight="1" s="37">
      <c r="A216" s="47" t="inlineStr">
        <is>
          <t>J3-T2</t>
        </is>
      </c>
      <c r="B216" s="47" t="inlineStr">
        <is>
          <t>J3</t>
        </is>
      </c>
      <c r="C216" s="47" t="inlineStr">
        <is>
          <t>Sub-task</t>
        </is>
      </c>
      <c r="D216" s="48" t="inlineStr">
        <is>
          <t>Sticky acknowledgement bar and confirmation</t>
        </is>
      </c>
      <c r="E216" s="49" t="n"/>
      <c r="F216" s="47" t="n"/>
      <c r="G216" s="47" t="n"/>
      <c r="H216" s="50" t="inlineStr">
        <is>
          <t>High</t>
        </is>
      </c>
      <c r="I216" s="50" t="n"/>
      <c r="J216" s="50" t="n">
        <v>5</v>
      </c>
      <c r="K216" s="47" t="inlineStr">
        <is>
          <t>Frontend</t>
        </is>
      </c>
      <c r="L216" s="47" t="inlineStr">
        <is>
          <t>M4 Open paid tiers</t>
        </is>
      </c>
      <c r="M216" s="47" t="inlineStr">
        <is>
          <t>frontend</t>
        </is>
      </c>
      <c r="N216" s="43" t="inlineStr">
        <is>
          <t>Done</t>
        </is>
      </c>
      <c r="P216" s="36" t="inlineStr">
        <is>
          <t>2026-09-22</t>
        </is>
      </c>
    </row>
    <row r="217" ht="15" customHeight="1" s="37">
      <c r="A217" s="44" t="inlineStr">
        <is>
          <t>J4</t>
        </is>
      </c>
      <c r="B217" s="44" t="inlineStr">
        <is>
          <t>EPIC-J</t>
        </is>
      </c>
      <c r="C217" s="44" t="inlineStr">
        <is>
          <t>Story</t>
        </is>
      </c>
      <c r="D217" s="45" t="inlineStr">
        <is>
          <t>As an HR manager, publishing a new version re-triggers acknowledgement.</t>
        </is>
      </c>
      <c r="E217" s="45" t="n"/>
      <c r="F217" s="44" t="n"/>
      <c r="G217" s="44" t="inlineStr">
        <is>
          <t>EPIC-J</t>
        </is>
      </c>
      <c r="H217" s="46" t="inlineStr">
        <is>
          <t>Medium</t>
        </is>
      </c>
      <c r="I217" s="46" t="n">
        <v>3</v>
      </c>
      <c r="J217" s="46">
        <f>SUM(J218:J219)</f>
        <v/>
      </c>
      <c r="K217" s="44" t="n"/>
      <c r="L217" s="44" t="inlineStr">
        <is>
          <t>M4 Open paid tiers</t>
        </is>
      </c>
      <c r="M217" s="44" t="inlineStr">
        <is>
          <t>p2,m4</t>
        </is>
      </c>
      <c r="N217" s="43" t="inlineStr">
        <is>
          <t>Done</t>
        </is>
      </c>
      <c r="O217" s="36" t="inlineStr">
        <is>
          <t>2/2 sub-tasks done</t>
        </is>
      </c>
      <c r="P217" s="36" t="inlineStr">
        <is>
          <t>2026-09-22</t>
        </is>
      </c>
    </row>
    <row r="218" ht="15" customHeight="1" s="37">
      <c r="A218" s="47" t="inlineStr">
        <is>
          <t>J4-T1</t>
        </is>
      </c>
      <c r="B218" s="47" t="inlineStr">
        <is>
          <t>J4</t>
        </is>
      </c>
      <c r="C218" s="47" t="inlineStr">
        <is>
          <t>Sub-task</t>
        </is>
      </c>
      <c r="D218" s="48" t="inlineStr">
        <is>
          <t>Supersede trigger on new approved version</t>
        </is>
      </c>
      <c r="E218" s="49" t="n"/>
      <c r="F218" s="47" t="n"/>
      <c r="G218" s="47" t="n"/>
      <c r="H218" s="50" t="inlineStr">
        <is>
          <t>Medium</t>
        </is>
      </c>
      <c r="I218" s="50" t="n"/>
      <c r="J218" s="50" t="n">
        <v>4</v>
      </c>
      <c r="K218" s="47" t="inlineStr">
        <is>
          <t>Database</t>
        </is>
      </c>
      <c r="L218" s="47" t="inlineStr">
        <is>
          <t>M4 Open paid tiers</t>
        </is>
      </c>
      <c r="M218" s="47" t="inlineStr">
        <is>
          <t>database</t>
        </is>
      </c>
      <c r="N218" s="43" t="inlineStr">
        <is>
          <t>Done</t>
        </is>
      </c>
      <c r="O218" s="36" t="inlineStr">
        <is>
          <t>ack per version + AcknowledgementDueNotification</t>
        </is>
      </c>
      <c r="P218" s="36" t="inlineStr">
        <is>
          <t>2026-09-22</t>
        </is>
      </c>
    </row>
    <row r="219" ht="15" customHeight="1" s="37">
      <c r="A219" s="47" t="inlineStr">
        <is>
          <t>J4-T2</t>
        </is>
      </c>
      <c r="B219" s="47" t="inlineStr">
        <is>
          <t>J4</t>
        </is>
      </c>
      <c r="C219" s="47" t="inlineStr">
        <is>
          <t>Sub-task</t>
        </is>
      </c>
      <c r="D219" s="48" t="inlineStr">
        <is>
          <t>Re-trigger behaviour tests</t>
        </is>
      </c>
      <c r="E219" s="49" t="n"/>
      <c r="F219" s="47" t="n"/>
      <c r="G219" s="47" t="n"/>
      <c r="H219" s="50" t="inlineStr">
        <is>
          <t>Medium</t>
        </is>
      </c>
      <c r="I219" s="50" t="n"/>
      <c r="J219" s="50" t="n">
        <v>3</v>
      </c>
      <c r="K219" s="47" t="inlineStr">
        <is>
          <t>QA</t>
        </is>
      </c>
      <c r="L219" s="47" t="inlineStr">
        <is>
          <t>M4 Open paid tiers</t>
        </is>
      </c>
      <c r="M219" s="47" t="inlineStr">
        <is>
          <t>qa</t>
        </is>
      </c>
      <c r="N219" s="43" t="inlineStr">
        <is>
          <t>Done</t>
        </is>
      </c>
      <c r="O219" s="36" t="inlineStr">
        <is>
          <t>AcknowledgementTest</t>
        </is>
      </c>
      <c r="P219" s="36" t="inlineStr">
        <is>
          <t>2026-09-22</t>
        </is>
      </c>
    </row>
    <row r="220" ht="15" customHeight="1" s="37">
      <c r="A220" s="44" t="inlineStr">
        <is>
          <t>J5</t>
        </is>
      </c>
      <c r="B220" s="44" t="inlineStr">
        <is>
          <t>EPIC-J</t>
        </is>
      </c>
      <c r="C220" s="44" t="inlineStr">
        <is>
          <t>Story</t>
        </is>
      </c>
      <c r="D220" s="45" t="inlineStr">
        <is>
          <t>As an HR manager, I can export the acknowledgement record to CSV.</t>
        </is>
      </c>
      <c r="E220" s="45" t="inlineStr">
        <is>
          <t>One row per user per document version with timestamp.</t>
        </is>
      </c>
      <c r="F220" s="44" t="n"/>
      <c r="G220" s="44" t="inlineStr">
        <is>
          <t>EPIC-J</t>
        </is>
      </c>
      <c r="H220" s="46" t="inlineStr">
        <is>
          <t>Medium</t>
        </is>
      </c>
      <c r="I220" s="46" t="n">
        <v>2</v>
      </c>
      <c r="J220" s="46">
        <f>SUM(J221:J221)</f>
        <v/>
      </c>
      <c r="K220" s="44" t="n"/>
      <c r="L220" s="44" t="inlineStr">
        <is>
          <t>M4 Open paid tiers</t>
        </is>
      </c>
      <c r="M220" s="44" t="inlineStr">
        <is>
          <t>p2,m4</t>
        </is>
      </c>
      <c r="N220" s="43" t="inlineStr">
        <is>
          <t>Done</t>
        </is>
      </c>
      <c r="O220" s="36" t="inlineStr">
        <is>
          <t>1/1 sub-tasks done</t>
        </is>
      </c>
      <c r="P220" s="36" t="inlineStr">
        <is>
          <t>2026-09-22</t>
        </is>
      </c>
    </row>
    <row r="221" ht="15" customHeight="1" s="37">
      <c r="A221" s="47" t="inlineStr">
        <is>
          <t>J5-T1</t>
        </is>
      </c>
      <c r="B221" s="47" t="inlineStr">
        <is>
          <t>J5</t>
        </is>
      </c>
      <c r="C221" s="47" t="inlineStr">
        <is>
          <t>Sub-task</t>
        </is>
      </c>
      <c r="D221" s="48" t="inlineStr">
        <is>
          <t>CSV export endpoint</t>
        </is>
      </c>
      <c r="E221" s="49" t="n"/>
      <c r="F221" s="47" t="n"/>
      <c r="G221" s="47" t="n"/>
      <c r="H221" s="50" t="inlineStr">
        <is>
          <t>Medium</t>
        </is>
      </c>
      <c r="I221" s="50" t="n"/>
      <c r="J221" s="50" t="n">
        <v>5</v>
      </c>
      <c r="K221" s="47" t="inlineStr">
        <is>
          <t>Backend</t>
        </is>
      </c>
      <c r="L221" s="47" t="inlineStr">
        <is>
          <t>M4 Open paid tiers</t>
        </is>
      </c>
      <c r="M221" s="47" t="inlineStr">
        <is>
          <t>backend</t>
        </is>
      </c>
      <c r="N221" s="43" t="inlineStr">
        <is>
          <t>Done</t>
        </is>
      </c>
      <c r="P221" s="36" t="inlineStr">
        <is>
          <t>2026-09-22</t>
        </is>
      </c>
    </row>
    <row r="222" ht="15" customHeight="1" s="37">
      <c r="A222" s="40" t="inlineStr">
        <is>
          <t>EPIC-K</t>
        </is>
      </c>
      <c r="B222" s="40" t="n"/>
      <c r="C222" s="40" t="inlineStr">
        <is>
          <t>Epic</t>
        </is>
      </c>
      <c r="D222" s="41" t="inlineStr">
        <is>
          <t>K — Billing &amp; plans</t>
        </is>
      </c>
      <c r="E222" s="41" t="inlineStr">
        <is>
          <t>Free, Pro and Team tiers with honest limit enforcement.</t>
        </is>
      </c>
      <c r="F222" s="40" t="inlineStr">
        <is>
          <t>Billing &amp; plans</t>
        </is>
      </c>
      <c r="G222" s="40" t="n"/>
      <c r="H222" s="42" t="n"/>
      <c r="I222" s="42">
        <f>SUMIFS(I$2:I$273,G$2:G$273,"EPIC-K",C$2:C$273,"Story")</f>
        <v/>
      </c>
      <c r="J222" s="42">
        <f>SUMIFS(J$2:J$273,G$2:G$273,"EPIC-K",C$2:C$273,"Story")</f>
        <v/>
      </c>
      <c r="K222" s="40" t="n"/>
      <c r="L222" s="40" t="n"/>
      <c r="M222" s="40" t="inlineStr">
        <is>
          <t>epic</t>
        </is>
      </c>
      <c r="N222" s="51" t="inlineStr">
        <is>
          <t>In Progress</t>
        </is>
      </c>
      <c r="O222" s="36" t="inlineStr">
        <is>
          <t>10/11 sub-tasks done, 3/4 stories done; only the payment-provider driver remains, blocked on the provider decision</t>
        </is>
      </c>
      <c r="P222" s="36" t="inlineStr">
        <is>
          <t>2026-09-23</t>
        </is>
      </c>
    </row>
    <row r="223" ht="23.85" customHeight="1" s="37">
      <c r="A223" s="44" t="inlineStr">
        <is>
          <t>K1</t>
        </is>
      </c>
      <c r="B223" s="44" t="inlineStr">
        <is>
          <t>EPIC-K</t>
        </is>
      </c>
      <c r="C223" s="44" t="inlineStr">
        <is>
          <t>Story</t>
        </is>
      </c>
      <c r="D223" s="45" t="inlineStr">
        <is>
          <t>As a workspace, I start on Free with 3 users and 50 documents.</t>
        </is>
      </c>
      <c r="E223" s="45" t="inlineStr">
        <is>
          <t>Free is capped on documents, not features, so AI value is visible before the paywall.</t>
        </is>
      </c>
      <c r="F223" s="44" t="n"/>
      <c r="G223" s="44" t="inlineStr">
        <is>
          <t>EPIC-K</t>
        </is>
      </c>
      <c r="H223" s="46" t="inlineStr">
        <is>
          <t>High</t>
        </is>
      </c>
      <c r="I223" s="46" t="n">
        <v>5</v>
      </c>
      <c r="J223" s="46">
        <f>SUM(J224:J226)</f>
        <v/>
      </c>
      <c r="K223" s="44" t="n"/>
      <c r="L223" s="44" t="inlineStr">
        <is>
          <t>M4 Open paid tiers</t>
        </is>
      </c>
      <c r="M223" s="44" t="inlineStr">
        <is>
          <t>p1,m4</t>
        </is>
      </c>
      <c r="N223" s="43" t="inlineStr">
        <is>
          <t>Done</t>
        </is>
      </c>
      <c r="O223" s="36" t="inlineStr">
        <is>
          <t>3/3 sub-tasks done</t>
        </is>
      </c>
      <c r="P223" s="36" t="inlineStr">
        <is>
          <t>2026-09-23</t>
        </is>
      </c>
    </row>
    <row r="224" ht="15" customHeight="1" s="37">
      <c r="A224" s="47" t="inlineStr">
        <is>
          <t>K1-T1</t>
        </is>
      </c>
      <c r="B224" s="47" t="inlineStr">
        <is>
          <t>K1</t>
        </is>
      </c>
      <c r="C224" s="47" t="inlineStr">
        <is>
          <t>Sub-task</t>
        </is>
      </c>
      <c r="D224" s="48" t="inlineStr">
        <is>
          <t>subscriptions and usage_counters schema</t>
        </is>
      </c>
      <c r="E224" s="49" t="n"/>
      <c r="F224" s="47" t="n"/>
      <c r="G224" s="47" t="n"/>
      <c r="H224" s="50" t="inlineStr">
        <is>
          <t>High</t>
        </is>
      </c>
      <c r="I224" s="50" t="n"/>
      <c r="J224" s="50" t="n">
        <v>5</v>
      </c>
      <c r="K224" s="47" t="inlineStr">
        <is>
          <t>Database</t>
        </is>
      </c>
      <c r="L224" s="47" t="inlineStr">
        <is>
          <t>M4 Open paid tiers</t>
        </is>
      </c>
      <c r="M224" s="47" t="inlineStr">
        <is>
          <t>database</t>
        </is>
      </c>
      <c r="N224" s="43" t="inlineStr">
        <is>
          <t>Done</t>
        </is>
      </c>
      <c r="O224" s="36" t="inlineStr">
        <is>
          <t>subscriptions table created (migration 001600, doc 04 v2.9); usage_counters superseded by live counters (Billing\Usage)</t>
        </is>
      </c>
      <c r="P224" s="36" t="inlineStr">
        <is>
          <t>2026-09-23</t>
        </is>
      </c>
    </row>
    <row r="225" ht="15" customHeight="1" s="37">
      <c r="A225" s="47" t="inlineStr">
        <is>
          <t>K1-T2</t>
        </is>
      </c>
      <c r="B225" s="47" t="inlineStr">
        <is>
          <t>K1</t>
        </is>
      </c>
      <c r="C225" s="47" t="inlineStr">
        <is>
          <t>Sub-task</t>
        </is>
      </c>
      <c r="D225" s="48" t="inlineStr">
        <is>
          <t>Default plan assignment on workspace creation</t>
        </is>
      </c>
      <c r="E225" s="49" t="n"/>
      <c r="F225" s="47" t="n"/>
      <c r="G225" s="47" t="n"/>
      <c r="H225" s="50" t="inlineStr">
        <is>
          <t>High</t>
        </is>
      </c>
      <c r="I225" s="50" t="n"/>
      <c r="J225" s="50" t="n">
        <v>3</v>
      </c>
      <c r="K225" s="47" t="inlineStr">
        <is>
          <t>Backend</t>
        </is>
      </c>
      <c r="L225" s="47" t="inlineStr">
        <is>
          <t>M4 Open paid tiers</t>
        </is>
      </c>
      <c r="M225" s="47" t="inlineStr">
        <is>
          <t>backend</t>
        </is>
      </c>
      <c r="N225" s="43" t="inlineStr">
        <is>
          <t>Done</t>
        </is>
      </c>
      <c r="P225" s="36" t="inlineStr">
        <is>
          <t>2026-09-22</t>
        </is>
      </c>
    </row>
    <row r="226" ht="15" customHeight="1" s="37">
      <c r="A226" s="47" t="inlineStr">
        <is>
          <t>K1-T3</t>
        </is>
      </c>
      <c r="B226" s="47" t="inlineStr">
        <is>
          <t>K1</t>
        </is>
      </c>
      <c r="C226" s="47" t="inlineStr">
        <is>
          <t>Sub-task</t>
        </is>
      </c>
      <c r="D226" s="48" t="inlineStr">
        <is>
          <t>Usage counting hooks across billable actions</t>
        </is>
      </c>
      <c r="E226" s="49" t="n"/>
      <c r="F226" s="47" t="n"/>
      <c r="G226" s="47" t="n"/>
      <c r="H226" s="50" t="inlineStr">
        <is>
          <t>High</t>
        </is>
      </c>
      <c r="I226" s="50" t="n"/>
      <c r="J226" s="50" t="n">
        <v>6</v>
      </c>
      <c r="K226" s="47" t="inlineStr">
        <is>
          <t>Backend</t>
        </is>
      </c>
      <c r="L226" s="47" t="inlineStr">
        <is>
          <t>M4 Open paid tiers</t>
        </is>
      </c>
      <c r="M226" s="47" t="inlineStr">
        <is>
          <t>backend</t>
        </is>
      </c>
      <c r="N226" s="43" t="inlineStr">
        <is>
          <t>Done</t>
        </is>
      </c>
      <c r="P226" s="36" t="inlineStr">
        <is>
          <t>2026-09-22</t>
        </is>
      </c>
    </row>
    <row r="227" ht="15" customHeight="1" s="37">
      <c r="A227" s="44" t="inlineStr">
        <is>
          <t>K2</t>
        </is>
      </c>
      <c r="B227" s="44" t="inlineStr">
        <is>
          <t>EPIC-K</t>
        </is>
      </c>
      <c r="C227" s="44" t="inlineStr">
        <is>
          <t>Story</t>
        </is>
      </c>
      <c r="D227" s="45" t="inlineStr">
        <is>
          <t>As an admin, I can upgrade to Pro or Team and manage billing.</t>
        </is>
      </c>
      <c r="E227" s="45" t="n"/>
      <c r="F227" s="44" t="n"/>
      <c r="G227" s="44" t="inlineStr">
        <is>
          <t>EPIC-K</t>
        </is>
      </c>
      <c r="H227" s="46" t="inlineStr">
        <is>
          <t>High</t>
        </is>
      </c>
      <c r="I227" s="46" t="n">
        <v>8</v>
      </c>
      <c r="J227" s="46">
        <f>SUM(J228:J230)</f>
        <v/>
      </c>
      <c r="K227" s="44" t="n"/>
      <c r="L227" s="44" t="inlineStr">
        <is>
          <t>M4 Open paid tiers</t>
        </is>
      </c>
      <c r="M227" s="44" t="inlineStr">
        <is>
          <t>p1,m4</t>
        </is>
      </c>
      <c r="N227" s="51" t="inlineStr">
        <is>
          <t>In Progress</t>
        </is>
      </c>
      <c r="O227" s="36" t="inlineStr">
        <is>
          <t>2/3 sub-tasks done</t>
        </is>
      </c>
      <c r="P227" s="36" t="inlineStr">
        <is>
          <t>2026-09-23</t>
        </is>
      </c>
    </row>
    <row r="228" ht="15" customHeight="1" s="37">
      <c r="A228" s="47" t="inlineStr">
        <is>
          <t>K2-T1</t>
        </is>
      </c>
      <c r="B228" s="47" t="inlineStr">
        <is>
          <t>K2</t>
        </is>
      </c>
      <c r="C228" s="47" t="inlineStr">
        <is>
          <t>Sub-task</t>
        </is>
      </c>
      <c r="D228" s="48" t="inlineStr">
        <is>
          <t>Payment provider integration and webhooks</t>
        </is>
      </c>
      <c r="E228" s="49" t="n"/>
      <c r="F228" s="47" t="n"/>
      <c r="G228" s="47" t="n"/>
      <c r="H228" s="50" t="inlineStr">
        <is>
          <t>High</t>
        </is>
      </c>
      <c r="I228" s="50" t="n"/>
      <c r="J228" s="50" t="n">
        <v>14</v>
      </c>
      <c r="K228" s="47" t="inlineStr">
        <is>
          <t>Backend</t>
        </is>
      </c>
      <c r="L228" s="47" t="inlineStr">
        <is>
          <t>M4 Open paid tiers</t>
        </is>
      </c>
      <c r="M228" s="47" t="inlineStr">
        <is>
          <t>backend</t>
        </is>
      </c>
      <c r="N228" s="53" t="inlineStr">
        <is>
          <t>Blocked</t>
        </is>
      </c>
      <c r="O228" s="36" t="inlineStr">
        <is>
          <t>provider-independent part done: BillingProvider driver interface, subscriptions table, POST /billing/webhook (normalised events), Null + Fake drivers, app.yaml settings. The real driver is one class once the provider is chosen (open decision 03 §12)</t>
        </is>
      </c>
      <c r="P228" s="36" t="inlineStr">
        <is>
          <t>2026-09-23</t>
        </is>
      </c>
    </row>
    <row r="229" ht="15" customHeight="1" s="37">
      <c r="A229" s="47" t="inlineStr">
        <is>
          <t>K2-T2</t>
        </is>
      </c>
      <c r="B229" s="47" t="inlineStr">
        <is>
          <t>K2</t>
        </is>
      </c>
      <c r="C229" s="47" t="inlineStr">
        <is>
          <t>Sub-task</t>
        </is>
      </c>
      <c r="D229" s="48" t="inlineStr">
        <is>
          <t>Plan change, seat handling and proration</t>
        </is>
      </c>
      <c r="E229" s="49" t="n"/>
      <c r="F229" s="47" t="n"/>
      <c r="G229" s="47" t="n"/>
      <c r="H229" s="50" t="inlineStr">
        <is>
          <t>High</t>
        </is>
      </c>
      <c r="I229" s="50" t="n"/>
      <c r="J229" s="50" t="n">
        <v>8</v>
      </c>
      <c r="K229" s="47" t="inlineStr">
        <is>
          <t>Backend</t>
        </is>
      </c>
      <c r="L229" s="47" t="inlineStr">
        <is>
          <t>M4 Open paid tiers</t>
        </is>
      </c>
      <c r="M229" s="47" t="inlineStr">
        <is>
          <t>backend</t>
        </is>
      </c>
      <c r="N229" s="43" t="inlineStr">
        <is>
          <t>Done</t>
        </is>
      </c>
      <c r="O229" s="36" t="inlineStr">
        <is>
          <t>Plans: upgrade/more seats at once (provider prorates), downgrade/fewer seats scheduled at period end (billing:apply-scheduled hourly + webhook), refused with counts when over the new limits, Team &gt;10 seats refused (open decision); S22 plan chooser + seats + scheduled notice; PlanChangeTest</t>
        </is>
      </c>
      <c r="P229" s="36" t="inlineStr">
        <is>
          <t>2026-09-23</t>
        </is>
      </c>
    </row>
    <row r="230" ht="15" customHeight="1" s="37">
      <c r="A230" s="47" t="inlineStr">
        <is>
          <t>K2-T3</t>
        </is>
      </c>
      <c r="B230" s="47" t="inlineStr">
        <is>
          <t>K2</t>
        </is>
      </c>
      <c r="C230" s="47" t="inlineStr">
        <is>
          <t>Sub-task</t>
        </is>
      </c>
      <c r="D230" s="48" t="inlineStr">
        <is>
          <t>Billing and usage screen (S22)</t>
        </is>
      </c>
      <c r="E230" s="49" t="n"/>
      <c r="F230" s="47" t="n"/>
      <c r="G230" s="47" t="n"/>
      <c r="H230" s="50" t="inlineStr">
        <is>
          <t>High</t>
        </is>
      </c>
      <c r="I230" s="50" t="n"/>
      <c r="J230" s="50" t="n">
        <v>10</v>
      </c>
      <c r="K230" s="47" t="inlineStr">
        <is>
          <t>Frontend</t>
        </is>
      </c>
      <c r="L230" s="47" t="inlineStr">
        <is>
          <t>M4 Open paid tiers</t>
        </is>
      </c>
      <c r="M230" s="47" t="inlineStr">
        <is>
          <t>frontend</t>
        </is>
      </c>
      <c r="N230" s="43" t="inlineStr">
        <is>
          <t>Done</t>
        </is>
      </c>
      <c r="O230" s="36" t="inlineStr">
        <is>
          <t>S22; 4c59e48</t>
        </is>
      </c>
      <c r="P230" s="36" t="inlineStr">
        <is>
          <t>2026-09-22</t>
        </is>
      </c>
    </row>
    <row r="231" ht="23.85" customHeight="1" s="37">
      <c r="A231" s="44" t="inlineStr">
        <is>
          <t>K3</t>
        </is>
      </c>
      <c r="B231" s="44" t="inlineStr">
        <is>
          <t>EPIC-K</t>
        </is>
      </c>
      <c r="C231" s="44" t="inlineStr">
        <is>
          <t>Story</t>
        </is>
      </c>
      <c r="D231" s="45" t="inlineStr">
        <is>
          <t>As a system, plan limits are enforced with a clear message, not a silent failure.</t>
        </is>
      </c>
      <c r="E231" s="45" t="inlineStr">
        <is>
          <t>429 with plan_limit_exceeded and the counter in details.</t>
        </is>
      </c>
      <c r="F231" s="44" t="n"/>
      <c r="G231" s="44" t="inlineStr">
        <is>
          <t>EPIC-K</t>
        </is>
      </c>
      <c r="H231" s="46" t="inlineStr">
        <is>
          <t>High</t>
        </is>
      </c>
      <c r="I231" s="46" t="n">
        <v>5</v>
      </c>
      <c r="J231" s="46">
        <f>SUM(J232:J234)</f>
        <v/>
      </c>
      <c r="K231" s="44" t="n"/>
      <c r="L231" s="44" t="inlineStr">
        <is>
          <t>M4 Open paid tiers</t>
        </is>
      </c>
      <c r="M231" s="44" t="inlineStr">
        <is>
          <t>p1,m4</t>
        </is>
      </c>
      <c r="N231" s="43" t="inlineStr">
        <is>
          <t>Done</t>
        </is>
      </c>
      <c r="O231" s="36" t="inlineStr">
        <is>
          <t>3/3 sub-tasks done</t>
        </is>
      </c>
      <c r="P231" s="36" t="inlineStr">
        <is>
          <t>2026-09-23</t>
        </is>
      </c>
    </row>
    <row r="232" ht="15" customHeight="1" s="37">
      <c r="A232" s="47" t="inlineStr">
        <is>
          <t>K3-T1</t>
        </is>
      </c>
      <c r="B232" s="47" t="inlineStr">
        <is>
          <t>K3</t>
        </is>
      </c>
      <c r="C232" s="47" t="inlineStr">
        <is>
          <t>Sub-task</t>
        </is>
      </c>
      <c r="D232" s="48" t="inlineStr">
        <is>
          <t>Limit enforcement returning 429 across endpoints</t>
        </is>
      </c>
      <c r="E232" s="49" t="n"/>
      <c r="F232" s="47" t="n"/>
      <c r="G232" s="47" t="n"/>
      <c r="H232" s="50" t="inlineStr">
        <is>
          <t>High</t>
        </is>
      </c>
      <c r="I232" s="50" t="n"/>
      <c r="J232" s="50" t="n">
        <v>8</v>
      </c>
      <c r="K232" s="47" t="inlineStr">
        <is>
          <t>Backend</t>
        </is>
      </c>
      <c r="L232" s="47" t="inlineStr">
        <is>
          <t>M4 Open paid tiers</t>
        </is>
      </c>
      <c r="M232" s="47" t="inlineStr">
        <is>
          <t>backend</t>
        </is>
      </c>
      <c r="N232" s="43" t="inlineStr">
        <is>
          <t>Done</t>
        </is>
      </c>
      <c r="O232" s="36" t="inlineStr">
        <is>
          <t>429 plan_limit_exceeded / 402 plan_required</t>
        </is>
      </c>
      <c r="P232" s="36" t="inlineStr">
        <is>
          <t>2026-09-22</t>
        </is>
      </c>
    </row>
    <row r="233" ht="15" customHeight="1" s="37">
      <c r="A233" s="47" t="inlineStr">
        <is>
          <t>K3-T2</t>
        </is>
      </c>
      <c r="B233" s="47" t="inlineStr">
        <is>
          <t>K3</t>
        </is>
      </c>
      <c r="C233" s="47" t="inlineStr">
        <is>
          <t>Sub-task</t>
        </is>
      </c>
      <c r="D233" s="48" t="inlineStr">
        <is>
          <t>Approaching-limit notice in the app shell</t>
        </is>
      </c>
      <c r="E233" s="49" t="n"/>
      <c r="F233" s="47" t="n"/>
      <c r="G233" s="47" t="n"/>
      <c r="H233" s="50" t="inlineStr">
        <is>
          <t>High</t>
        </is>
      </c>
      <c r="I233" s="50" t="n"/>
      <c r="J233" s="50" t="n">
        <v>5</v>
      </c>
      <c r="K233" s="47" t="inlineStr">
        <is>
          <t>Frontend</t>
        </is>
      </c>
      <c r="L233" s="47" t="inlineStr">
        <is>
          <t>M4 Open paid tiers</t>
        </is>
      </c>
      <c r="M233" s="47" t="inlineStr">
        <is>
          <t>frontend</t>
        </is>
      </c>
      <c r="N233" s="43" t="inlineStr">
        <is>
          <t>Done</t>
        </is>
      </c>
      <c r="O233" s="36" t="inlineStr">
        <is>
          <t>shell limit notice</t>
        </is>
      </c>
      <c r="P233" s="36" t="inlineStr">
        <is>
          <t>2026-09-22</t>
        </is>
      </c>
    </row>
    <row r="234" ht="15" customHeight="1" s="37">
      <c r="A234" s="47" t="inlineStr">
        <is>
          <t>K3-T3</t>
        </is>
      </c>
      <c r="B234" s="47" t="inlineStr">
        <is>
          <t>K3</t>
        </is>
      </c>
      <c r="C234" s="47" t="inlineStr">
        <is>
          <t>Sub-task</t>
        </is>
      </c>
      <c r="D234" s="48" t="inlineStr">
        <is>
          <t>Per-tier limit enforcement tests</t>
        </is>
      </c>
      <c r="E234" s="49" t="n"/>
      <c r="F234" s="47" t="n"/>
      <c r="G234" s="47" t="n"/>
      <c r="H234" s="50" t="inlineStr">
        <is>
          <t>High</t>
        </is>
      </c>
      <c r="I234" s="50" t="n"/>
      <c r="J234" s="50" t="n">
        <v>5</v>
      </c>
      <c r="K234" s="47" t="inlineStr">
        <is>
          <t>QA</t>
        </is>
      </c>
      <c r="L234" s="47" t="inlineStr">
        <is>
          <t>M4 Open paid tiers</t>
        </is>
      </c>
      <c r="M234" s="47" t="inlineStr">
        <is>
          <t>qa</t>
        </is>
      </c>
      <c r="N234" s="43" t="inlineStr">
        <is>
          <t>Done</t>
        </is>
      </c>
      <c r="O234" s="36" t="inlineStr">
        <is>
          <t>UsageTest</t>
        </is>
      </c>
      <c r="P234" s="36" t="inlineStr">
        <is>
          <t>2026-09-22</t>
        </is>
      </c>
    </row>
    <row r="235" ht="15" customHeight="1" s="37">
      <c r="A235" s="44" t="inlineStr">
        <is>
          <t>K4</t>
        </is>
      </c>
      <c r="B235" s="44" t="inlineStr">
        <is>
          <t>EPIC-K</t>
        </is>
      </c>
      <c r="C235" s="44" t="inlineStr">
        <is>
          <t>Story</t>
        </is>
      </c>
      <c r="D235" s="45" t="inlineStr">
        <is>
          <t>As an admin, I can see usage against my plan limits.</t>
        </is>
      </c>
      <c r="E235" s="45" t="n"/>
      <c r="F235" s="44" t="n"/>
      <c r="G235" s="44" t="inlineStr">
        <is>
          <t>EPIC-K</t>
        </is>
      </c>
      <c r="H235" s="46" t="inlineStr">
        <is>
          <t>High</t>
        </is>
      </c>
      <c r="I235" s="46" t="n">
        <v>3</v>
      </c>
      <c r="J235" s="46">
        <f>SUM(J236:J237)</f>
        <v/>
      </c>
      <c r="K235" s="44" t="n"/>
      <c r="L235" s="44" t="inlineStr">
        <is>
          <t>M4 Open paid tiers</t>
        </is>
      </c>
      <c r="M235" s="44" t="inlineStr">
        <is>
          <t>p1,m4</t>
        </is>
      </c>
      <c r="N235" s="43" t="inlineStr">
        <is>
          <t>Done</t>
        </is>
      </c>
      <c r="O235" s="36" t="inlineStr">
        <is>
          <t>2/2 sub-tasks done</t>
        </is>
      </c>
      <c r="P235" s="36" t="inlineStr">
        <is>
          <t>2026-09-23</t>
        </is>
      </c>
    </row>
    <row r="236" ht="15" customHeight="1" s="37">
      <c r="A236" s="47" t="inlineStr">
        <is>
          <t>K4-T1</t>
        </is>
      </c>
      <c r="B236" s="47" t="inlineStr">
        <is>
          <t>K4</t>
        </is>
      </c>
      <c r="C236" s="47" t="inlineStr">
        <is>
          <t>Sub-task</t>
        </is>
      </c>
      <c r="D236" s="48" t="inlineStr">
        <is>
          <t>Usage endpoint returning counters against caps</t>
        </is>
      </c>
      <c r="E236" s="49" t="n"/>
      <c r="F236" s="47" t="n"/>
      <c r="G236" s="47" t="n"/>
      <c r="H236" s="50" t="inlineStr">
        <is>
          <t>High</t>
        </is>
      </c>
      <c r="I236" s="50" t="n"/>
      <c r="J236" s="50" t="n">
        <v>3</v>
      </c>
      <c r="K236" s="47" t="inlineStr">
        <is>
          <t>Backend</t>
        </is>
      </c>
      <c r="L236" s="47" t="inlineStr">
        <is>
          <t>M4 Open paid tiers</t>
        </is>
      </c>
      <c r="M236" s="47" t="inlineStr">
        <is>
          <t>backend</t>
        </is>
      </c>
      <c r="N236" s="43" t="inlineStr">
        <is>
          <t>Done</t>
        </is>
      </c>
      <c r="O236" s="36" t="inlineStr">
        <is>
          <t>GET /usage</t>
        </is>
      </c>
      <c r="P236" s="36" t="inlineStr">
        <is>
          <t>2026-09-22</t>
        </is>
      </c>
    </row>
    <row r="237" ht="15" customHeight="1" s="37">
      <c r="A237" s="47" t="inlineStr">
        <is>
          <t>K4-T2</t>
        </is>
      </c>
      <c r="B237" s="47" t="inlineStr">
        <is>
          <t>K4</t>
        </is>
      </c>
      <c r="C237" s="47" t="inlineStr">
        <is>
          <t>Sub-task</t>
        </is>
      </c>
      <c r="D237" s="48" t="inlineStr">
        <is>
          <t>Usage-against-caps display</t>
        </is>
      </c>
      <c r="E237" s="49" t="n"/>
      <c r="F237" s="47" t="n"/>
      <c r="G237" s="47" t="n"/>
      <c r="H237" s="50" t="inlineStr">
        <is>
          <t>High</t>
        </is>
      </c>
      <c r="I237" s="50" t="n"/>
      <c r="J237" s="50" t="n">
        <v>5</v>
      </c>
      <c r="K237" s="47" t="inlineStr">
        <is>
          <t>Frontend</t>
        </is>
      </c>
      <c r="L237" s="47" t="inlineStr">
        <is>
          <t>M4 Open paid tiers</t>
        </is>
      </c>
      <c r="M237" s="47" t="inlineStr">
        <is>
          <t>frontend</t>
        </is>
      </c>
      <c r="N237" s="43" t="inlineStr">
        <is>
          <t>Done</t>
        </is>
      </c>
      <c r="P237" s="36" t="inlineStr">
        <is>
          <t>2026-09-22</t>
        </is>
      </c>
    </row>
    <row r="238" ht="15" customHeight="1" s="37">
      <c r="A238" s="40" t="inlineStr">
        <is>
          <t>EPIC-L</t>
        </is>
      </c>
      <c r="B238" s="40" t="n"/>
      <c r="C238" s="40" t="inlineStr">
        <is>
          <t>Epic</t>
        </is>
      </c>
      <c r="D238" s="41" t="inlineStr">
        <is>
          <t>L — Analytics &amp; operations</t>
        </is>
      </c>
      <c r="E238" s="41" t="inlineStr">
        <is>
          <t>Admin insight, review cadence and pipeline health.</t>
        </is>
      </c>
      <c r="F238" s="40" t="inlineStr">
        <is>
          <t>Analytics &amp; operations</t>
        </is>
      </c>
      <c r="G238" s="40" t="n"/>
      <c r="H238" s="42" t="n"/>
      <c r="I238" s="42">
        <f>SUMIFS(I$2:I$273,G$2:G$273,"EPIC-L",C$2:C$273,"Story")</f>
        <v/>
      </c>
      <c r="J238" s="42">
        <f>SUMIFS(J$2:J$273,G$2:G$273,"EPIC-L",C$2:C$273,"Story")</f>
        <v/>
      </c>
      <c r="K238" s="40" t="n"/>
      <c r="L238" s="40" t="n"/>
      <c r="M238" s="40" t="inlineStr">
        <is>
          <t>epic</t>
        </is>
      </c>
      <c r="N238" s="43" t="inlineStr">
        <is>
          <t>Done</t>
        </is>
      </c>
      <c r="O238" s="36" t="inlineStr">
        <is>
          <t>8/8 sub-tasks done, 4/4 stories done</t>
        </is>
      </c>
      <c r="P238" s="36" t="inlineStr">
        <is>
          <t>2026-09-23</t>
        </is>
      </c>
    </row>
    <row r="239" ht="23.85" customHeight="1" s="37">
      <c r="A239" s="44" t="inlineStr">
        <is>
          <t>L1</t>
        </is>
      </c>
      <c r="B239" s="44" t="inlineStr">
        <is>
          <t>EPIC-L</t>
        </is>
      </c>
      <c r="C239" s="44" t="inlineStr">
        <is>
          <t>Story</t>
        </is>
      </c>
      <c r="D239" s="45" t="inlineStr">
        <is>
          <t>As an admin, I see documents by state, approval throughput and chat volume.</t>
        </is>
      </c>
      <c r="E239" s="45" t="n"/>
      <c r="F239" s="44" t="n"/>
      <c r="G239" s="44" t="inlineStr">
        <is>
          <t>EPIC-L</t>
        </is>
      </c>
      <c r="H239" s="46" t="inlineStr">
        <is>
          <t>Medium</t>
        </is>
      </c>
      <c r="I239" s="46" t="n">
        <v>5</v>
      </c>
      <c r="J239" s="46">
        <f>SUM(J240:J241)</f>
        <v/>
      </c>
      <c r="K239" s="44" t="n"/>
      <c r="L239" s="44" t="inlineStr">
        <is>
          <t>M5 Scale</t>
        </is>
      </c>
      <c r="M239" s="44" t="inlineStr">
        <is>
          <t>p2,m5</t>
        </is>
      </c>
      <c r="N239" s="43" t="inlineStr">
        <is>
          <t>Done</t>
        </is>
      </c>
      <c r="O239" s="36" t="inlineStr">
        <is>
          <t>2/2 sub-tasks done</t>
        </is>
      </c>
      <c r="P239" s="36" t="inlineStr">
        <is>
          <t>2026-09-23</t>
        </is>
      </c>
    </row>
    <row r="240" ht="15" customHeight="1" s="37">
      <c r="A240" s="47" t="inlineStr">
        <is>
          <t>L1-T1</t>
        </is>
      </c>
      <c r="B240" s="47" t="inlineStr">
        <is>
          <t>L1</t>
        </is>
      </c>
      <c r="C240" s="47" t="inlineStr">
        <is>
          <t>Sub-task</t>
        </is>
      </c>
      <c r="D240" s="48" t="inlineStr">
        <is>
          <t>Analytics aggregation queries</t>
        </is>
      </c>
      <c r="E240" s="49" t="n"/>
      <c r="F240" s="47" t="n"/>
      <c r="G240" s="47" t="n"/>
      <c r="H240" s="50" t="inlineStr">
        <is>
          <t>Medium</t>
        </is>
      </c>
      <c r="I240" s="50" t="n"/>
      <c r="J240" s="50" t="n">
        <v>8</v>
      </c>
      <c r="K240" s="47" t="inlineStr">
        <is>
          <t>Backend</t>
        </is>
      </c>
      <c r="L240" s="47" t="inlineStr">
        <is>
          <t>M5 Scale</t>
        </is>
      </c>
      <c r="M240" s="47" t="inlineStr">
        <is>
          <t>backend</t>
        </is>
      </c>
      <c r="N240" s="43" t="inlineStr">
        <is>
          <t>Done</t>
        </is>
      </c>
      <c r="O240" s="36" t="inlineStr">
        <is>
          <t>AnalyticsController::overview</t>
        </is>
      </c>
      <c r="P240" s="36" t="inlineStr">
        <is>
          <t>2026-09-22</t>
        </is>
      </c>
    </row>
    <row r="241" ht="15" customHeight="1" s="37">
      <c r="A241" s="47" t="inlineStr">
        <is>
          <t>L1-T2</t>
        </is>
      </c>
      <c r="B241" s="47" t="inlineStr">
        <is>
          <t>L1</t>
        </is>
      </c>
      <c r="C241" s="47" t="inlineStr">
        <is>
          <t>Sub-task</t>
        </is>
      </c>
      <c r="D241" s="48" t="inlineStr">
        <is>
          <t>Analytics section of insights screen (S20)</t>
        </is>
      </c>
      <c r="E241" s="49" t="n"/>
      <c r="F241" s="47" t="n"/>
      <c r="G241" s="47" t="n"/>
      <c r="H241" s="50" t="inlineStr">
        <is>
          <t>Medium</t>
        </is>
      </c>
      <c r="I241" s="50" t="n"/>
      <c r="J241" s="50" t="n">
        <v>8</v>
      </c>
      <c r="K241" s="47" t="inlineStr">
        <is>
          <t>Frontend</t>
        </is>
      </c>
      <c r="L241" s="47" t="inlineStr">
        <is>
          <t>M5 Scale</t>
        </is>
      </c>
      <c r="M241" s="47" t="inlineStr">
        <is>
          <t>frontend</t>
        </is>
      </c>
      <c r="N241" s="43" t="inlineStr">
        <is>
          <t>Done</t>
        </is>
      </c>
      <c r="P241" s="36" t="inlineStr">
        <is>
          <t>2026-09-22</t>
        </is>
      </c>
    </row>
    <row r="242" ht="15" customHeight="1" s="37">
      <c r="A242" s="44" t="inlineStr">
        <is>
          <t>L2</t>
        </is>
      </c>
      <c r="B242" s="44" t="inlineStr">
        <is>
          <t>EPIC-L</t>
        </is>
      </c>
      <c r="C242" s="44" t="inlineStr">
        <is>
          <t>Story</t>
        </is>
      </c>
      <c r="D242" s="45" t="inlineStr">
        <is>
          <t>As an admin, I can see stale documents past their review date.</t>
        </is>
      </c>
      <c r="E242" s="45" t="n"/>
      <c r="F242" s="44" t="n"/>
      <c r="G242" s="44" t="inlineStr">
        <is>
          <t>EPIC-L</t>
        </is>
      </c>
      <c r="H242" s="46" t="inlineStr">
        <is>
          <t>Medium</t>
        </is>
      </c>
      <c r="I242" s="46" t="n">
        <v>5</v>
      </c>
      <c r="J242" s="46">
        <f>SUM(J243:J244)</f>
        <v/>
      </c>
      <c r="K242" s="44" t="n"/>
      <c r="L242" s="44" t="inlineStr">
        <is>
          <t>M5 Scale</t>
        </is>
      </c>
      <c r="M242" s="44" t="inlineStr">
        <is>
          <t>p2,m5</t>
        </is>
      </c>
      <c r="N242" s="43" t="inlineStr">
        <is>
          <t>Done</t>
        </is>
      </c>
      <c r="O242" s="36" t="inlineStr">
        <is>
          <t>2/2 sub-tasks done</t>
        </is>
      </c>
      <c r="P242" s="36" t="inlineStr">
        <is>
          <t>2026-09-23</t>
        </is>
      </c>
    </row>
    <row r="243" ht="15" customHeight="1" s="37">
      <c r="A243" s="47" t="inlineStr">
        <is>
          <t>L2-T1</t>
        </is>
      </c>
      <c r="B243" s="47" t="inlineStr">
        <is>
          <t>L2</t>
        </is>
      </c>
      <c r="C243" s="47" t="inlineStr">
        <is>
          <t>Sub-task</t>
        </is>
      </c>
      <c r="D243" s="48" t="inlineStr">
        <is>
          <t>review_due_at and workspace review cadence setting</t>
        </is>
      </c>
      <c r="E243" s="49" t="n"/>
      <c r="F243" s="47" t="n"/>
      <c r="G243" s="47" t="n"/>
      <c r="H243" s="50" t="inlineStr">
        <is>
          <t>Medium</t>
        </is>
      </c>
      <c r="I243" s="50" t="n"/>
      <c r="J243" s="50" t="n">
        <v>4</v>
      </c>
      <c r="K243" s="47" t="inlineStr">
        <is>
          <t>Backend</t>
        </is>
      </c>
      <c r="L243" s="47" t="inlineStr">
        <is>
          <t>M5 Scale</t>
        </is>
      </c>
      <c r="M243" s="47" t="inlineStr">
        <is>
          <t>backend</t>
        </is>
      </c>
      <c r="N243" s="43" t="inlineStr">
        <is>
          <t>Done</t>
        </is>
      </c>
      <c r="O243" s="36" t="inlineStr">
        <is>
          <t>review cadence setting + review_due_at on approval</t>
        </is>
      </c>
      <c r="P243" s="36" t="inlineStr">
        <is>
          <t>2026-09-22</t>
        </is>
      </c>
    </row>
    <row r="244" ht="15" customHeight="1" s="37">
      <c r="A244" s="47" t="inlineStr">
        <is>
          <t>L2-T2</t>
        </is>
      </c>
      <c r="B244" s="47" t="inlineStr">
        <is>
          <t>L2</t>
        </is>
      </c>
      <c r="C244" s="47" t="inlineStr">
        <is>
          <t>Sub-task</t>
        </is>
      </c>
      <c r="D244" s="48" t="inlineStr">
        <is>
          <t>Past-review list and owner dashboard</t>
        </is>
      </c>
      <c r="E244" s="49" t="n"/>
      <c r="F244" s="47" t="n"/>
      <c r="G244" s="47" t="n"/>
      <c r="H244" s="50" t="inlineStr">
        <is>
          <t>Medium</t>
        </is>
      </c>
      <c r="I244" s="50" t="n"/>
      <c r="J244" s="50" t="n">
        <v>8</v>
      </c>
      <c r="K244" s="47" t="inlineStr">
        <is>
          <t>Frontend</t>
        </is>
      </c>
      <c r="L244" s="47" t="inlineStr">
        <is>
          <t>M5 Scale</t>
        </is>
      </c>
      <c r="M244" s="47" t="inlineStr">
        <is>
          <t>frontend</t>
        </is>
      </c>
      <c r="N244" s="43" t="inlineStr">
        <is>
          <t>Done</t>
        </is>
      </c>
      <c r="O244" s="36" t="inlineStr">
        <is>
          <t>GET /analytics/past-review + list on Insights; GET /me/documents owner dashboard (/my-documents) with needs ranked most urgent first</t>
        </is>
      </c>
      <c r="P244" s="36" t="inlineStr">
        <is>
          <t>2026-09-23</t>
        </is>
      </c>
    </row>
    <row r="245" ht="23.85" customHeight="1" s="37">
      <c r="A245" s="44" t="inlineStr">
        <is>
          <t>L3</t>
        </is>
      </c>
      <c r="B245" s="44" t="inlineStr">
        <is>
          <t>EPIC-L</t>
        </is>
      </c>
      <c r="C245" s="44" t="inlineStr">
        <is>
          <t>Story</t>
        </is>
      </c>
      <c r="D245" s="45" t="inlineStr">
        <is>
          <t>As an operator, I'm alerted when an approved document has no current index entry.</t>
        </is>
      </c>
      <c r="E245" s="45" t="inlineStr">
        <is>
          <t>Correctness invariant: approved implies indexed.</t>
        </is>
      </c>
      <c r="F245" s="44" t="n"/>
      <c r="G245" s="44" t="inlineStr">
        <is>
          <t>EPIC-L</t>
        </is>
      </c>
      <c r="H245" s="46" t="inlineStr">
        <is>
          <t>Medium</t>
        </is>
      </c>
      <c r="I245" s="46" t="n">
        <v>5</v>
      </c>
      <c r="J245" s="46">
        <f>SUM(J246:J247)</f>
        <v/>
      </c>
      <c r="K245" s="44" t="n"/>
      <c r="L245" s="44" t="inlineStr">
        <is>
          <t>M5 Scale</t>
        </is>
      </c>
      <c r="M245" s="44" t="inlineStr">
        <is>
          <t>p2,m5</t>
        </is>
      </c>
      <c r="N245" s="43" t="inlineStr">
        <is>
          <t>Done</t>
        </is>
      </c>
      <c r="O245" s="36" t="inlineStr">
        <is>
          <t>2/2 sub-tasks done</t>
        </is>
      </c>
      <c r="P245" s="36" t="inlineStr">
        <is>
          <t>2026-09-23</t>
        </is>
      </c>
    </row>
    <row r="246" ht="15" customHeight="1" s="37">
      <c r="A246" s="47" t="inlineStr">
        <is>
          <t>L3-T1</t>
        </is>
      </c>
      <c r="B246" s="47" t="inlineStr">
        <is>
          <t>L3</t>
        </is>
      </c>
      <c r="C246" s="47" t="inlineStr">
        <is>
          <t>Sub-task</t>
        </is>
      </c>
      <c r="D246" s="48" t="inlineStr">
        <is>
          <t>Monitor job comparing approved documents to chunks</t>
        </is>
      </c>
      <c r="E246" s="49" t="n"/>
      <c r="F246" s="47" t="n"/>
      <c r="G246" s="47" t="n"/>
      <c r="H246" s="50" t="inlineStr">
        <is>
          <t>Medium</t>
        </is>
      </c>
      <c r="I246" s="50" t="n"/>
      <c r="J246" s="50" t="n">
        <v>6</v>
      </c>
      <c r="K246" s="47" t="inlineStr">
        <is>
          <t>Infra</t>
        </is>
      </c>
      <c r="L246" s="47" t="inlineStr">
        <is>
          <t>M5 Scale</t>
        </is>
      </c>
      <c r="M246" s="47" t="inlineStr">
        <is>
          <t>infra</t>
        </is>
      </c>
      <c r="N246" s="43" t="inlineStr">
        <is>
          <t>Done</t>
        </is>
      </c>
      <c r="O246" t="inlineStr">
        <is>
          <t>retrieval:check-index every 10 min (built under G1-T5): re-queue, stray-chunk cleanup, admin notice</t>
        </is>
      </c>
      <c r="P246" s="36" t="inlineStr">
        <is>
          <t>2026-09-23</t>
        </is>
      </c>
    </row>
    <row r="247" ht="15" customHeight="1" s="37">
      <c r="A247" s="47" t="inlineStr">
        <is>
          <t>L3-T2</t>
        </is>
      </c>
      <c r="B247" s="47" t="inlineStr">
        <is>
          <t>L3</t>
        </is>
      </c>
      <c r="C247" s="47" t="inlineStr">
        <is>
          <t>Sub-task</t>
        </is>
      </c>
      <c r="D247" s="48" t="inlineStr">
        <is>
          <t>Alert routing and runbook</t>
        </is>
      </c>
      <c r="E247" s="49" t="n"/>
      <c r="F247" s="47" t="n"/>
      <c r="G247" s="47" t="n"/>
      <c r="H247" s="50" t="inlineStr">
        <is>
          <t>Medium</t>
        </is>
      </c>
      <c r="I247" s="50" t="n"/>
      <c r="J247" s="50" t="n">
        <v>5</v>
      </c>
      <c r="K247" s="47" t="inlineStr">
        <is>
          <t>Infra</t>
        </is>
      </c>
      <c r="L247" s="47" t="inlineStr">
        <is>
          <t>M5 Scale</t>
        </is>
      </c>
      <c r="M247" s="47" t="inlineStr">
        <is>
          <t>infra</t>
        </is>
      </c>
      <c r="N247" s="43" t="inlineStr">
        <is>
          <t>Done</t>
        </is>
      </c>
      <c r="O247" t="inlineStr">
        <is>
          <t>`alerts` log channel (stderr + Slack at warning when LOG_SLACK_WEBHOOK_URL set); app.yaml platform alerts; infra/runbooks (index, billing, pipeline)</t>
        </is>
      </c>
      <c r="P247" s="36" t="inlineStr">
        <is>
          <t>2026-09-23</t>
        </is>
      </c>
    </row>
    <row r="248" ht="23.85" customHeight="1" s="37">
      <c r="A248" s="44" t="inlineStr">
        <is>
          <t>L4</t>
        </is>
      </c>
      <c r="B248" s="44" t="inlineStr">
        <is>
          <t>EPIC-L</t>
        </is>
      </c>
      <c r="C248" s="44" t="inlineStr">
        <is>
          <t>Story</t>
        </is>
      </c>
      <c r="D248" s="45" t="inlineStr">
        <is>
          <t>As an operator, I can see cost per generated SOP by workspace.</t>
        </is>
      </c>
      <c r="E248" s="45" t="inlineStr">
        <is>
          <t>Margin signal. Watch during design-partner phase before pricing decisions.</t>
        </is>
      </c>
      <c r="F248" s="44" t="n"/>
      <c r="G248" s="44" t="inlineStr">
        <is>
          <t>EPIC-L</t>
        </is>
      </c>
      <c r="H248" s="46" t="inlineStr">
        <is>
          <t>Medium</t>
        </is>
      </c>
      <c r="I248" s="46" t="n">
        <v>3</v>
      </c>
      <c r="J248" s="46">
        <f>SUM(J249:J250)</f>
        <v/>
      </c>
      <c r="K248" s="44" t="n"/>
      <c r="L248" s="44" t="inlineStr">
        <is>
          <t>M5 Scale</t>
        </is>
      </c>
      <c r="M248" s="44" t="inlineStr">
        <is>
          <t>p2,m5</t>
        </is>
      </c>
      <c r="N248" s="43" t="inlineStr">
        <is>
          <t>Done</t>
        </is>
      </c>
      <c r="O248" s="36" t="inlineStr">
        <is>
          <t>2/2 sub-tasks done</t>
        </is>
      </c>
      <c r="P248" s="36" t="inlineStr">
        <is>
          <t>2026-09-23</t>
        </is>
      </c>
    </row>
    <row r="249" ht="15" customHeight="1" s="37">
      <c r="A249" s="47" t="inlineStr">
        <is>
          <t>L4-T1</t>
        </is>
      </c>
      <c r="B249" s="47" t="inlineStr">
        <is>
          <t>L4</t>
        </is>
      </c>
      <c r="C249" s="47" t="inlineStr">
        <is>
          <t>Sub-task</t>
        </is>
      </c>
      <c r="D249" s="48" t="inlineStr">
        <is>
          <t>LLM cost logging per workspace and job</t>
        </is>
      </c>
      <c r="E249" s="49" t="n"/>
      <c r="F249" s="47" t="n"/>
      <c r="G249" s="47" t="n"/>
      <c r="H249" s="50" t="inlineStr">
        <is>
          <t>Medium</t>
        </is>
      </c>
      <c r="I249" s="50" t="n"/>
      <c r="J249" s="50" t="n">
        <v>5</v>
      </c>
      <c r="K249" s="47" t="inlineStr">
        <is>
          <t>Backend</t>
        </is>
      </c>
      <c r="L249" s="47" t="inlineStr">
        <is>
          <t>M5 Scale</t>
        </is>
      </c>
      <c r="M249" s="47" t="inlineStr">
        <is>
          <t>backend</t>
        </is>
      </c>
      <c r="N249" s="43" t="inlineStr">
        <is>
          <t>Done</t>
        </is>
      </c>
      <c r="O249" s="36" t="inlineStr">
        <is>
          <t>cost_usd on pipeline_jobs and audit metadata</t>
        </is>
      </c>
      <c r="P249" s="36" t="inlineStr">
        <is>
          <t>2026-09-22</t>
        </is>
      </c>
    </row>
    <row r="250" ht="15" customHeight="1" s="37">
      <c r="A250" s="47" t="inlineStr">
        <is>
          <t>L4-T2</t>
        </is>
      </c>
      <c r="B250" s="47" t="inlineStr">
        <is>
          <t>L4</t>
        </is>
      </c>
      <c r="C250" s="47" t="inlineStr">
        <is>
          <t>Sub-task</t>
        </is>
      </c>
      <c r="D250" s="48" t="inlineStr">
        <is>
          <t>Internal cost-per-SOP view</t>
        </is>
      </c>
      <c r="E250" s="49" t="n"/>
      <c r="F250" s="47" t="n"/>
      <c r="G250" s="47" t="n"/>
      <c r="H250" s="50" t="inlineStr">
        <is>
          <t>Medium</t>
        </is>
      </c>
      <c r="I250" s="50" t="n"/>
      <c r="J250" s="50" t="n">
        <v>4</v>
      </c>
      <c r="K250" s="47" t="inlineStr">
        <is>
          <t>Backend</t>
        </is>
      </c>
      <c r="L250" s="47" t="inlineStr">
        <is>
          <t>M5 Scale</t>
        </is>
      </c>
      <c r="M250" s="47" t="inlineStr">
        <is>
          <t>backend</t>
        </is>
      </c>
      <c r="N250" s="43" t="inlineStr">
        <is>
          <t>Done</t>
        </is>
      </c>
      <c r="O250" t="inlineStr">
        <is>
          <t>ops:cost-report [--month] [--csv]: per workspace pipeline $, $/SOP, chat $, assist $, plan price, margin %; chat_messages.cost_usd added</t>
        </is>
      </c>
      <c r="P250" s="36" t="inlineStr">
        <is>
          <t>2026-09-23</t>
        </is>
      </c>
    </row>
    <row r="251" ht="23.85" customHeight="1" s="37">
      <c r="A251" s="40" t="inlineStr">
        <is>
          <t>EPIC-M</t>
        </is>
      </c>
      <c r="B251" s="40" t="n"/>
      <c r="C251" s="40" t="inlineStr">
        <is>
          <t>Epic</t>
        </is>
      </c>
      <c r="D251" s="41" t="inlineStr">
        <is>
          <t>M — Platform &amp; delivery</t>
        </is>
      </c>
      <c r="E251" s="41" t="inlineStr">
        <is>
          <t>Design system, Aura theming, environments, CI/CD and observability. Prerequisites, not overhead.</t>
        </is>
      </c>
      <c r="F251" s="40" t="inlineStr">
        <is>
          <t>Platform &amp; delivery</t>
        </is>
      </c>
      <c r="G251" s="40" t="n"/>
      <c r="H251" s="42" t="n"/>
      <c r="I251" s="42">
        <f>SUMIFS(I$2:I$273,G$2:G$273,"EPIC-M",C$2:C$273,"Story")</f>
        <v/>
      </c>
      <c r="J251" s="42">
        <f>SUMIFS(J$2:J$273,G$2:G$273,"EPIC-M",C$2:C$273,"Story")</f>
        <v/>
      </c>
      <c r="K251" s="40" t="n"/>
      <c r="L251" s="40" t="n"/>
      <c r="M251" s="40" t="inlineStr">
        <is>
          <t>epic</t>
        </is>
      </c>
      <c r="N251" s="51" t="inlineStr">
        <is>
          <t>In Progress</t>
        </is>
      </c>
      <c r="O251" s="36" t="inlineStr">
        <is>
          <t>9/17 sub-tasks done, 1/5 stories done</t>
        </is>
      </c>
      <c r="P251" s="36" t="inlineStr">
        <is>
          <t>2026-09-22</t>
        </is>
      </c>
    </row>
    <row r="252" ht="23.85" customHeight="1" s="37">
      <c r="A252" s="44" t="inlineStr">
        <is>
          <t>M1</t>
        </is>
      </c>
      <c r="B252" s="44" t="inlineStr">
        <is>
          <t>EPIC-M</t>
        </is>
      </c>
      <c r="C252" s="44" t="inlineStr">
        <is>
          <t>Story</t>
        </is>
      </c>
      <c r="D252" s="45" t="inlineStr">
        <is>
          <t>As a developer, I have design tokens and a component library so screens are consistent and fast to build.</t>
        </is>
      </c>
      <c r="E252" s="45" t="inlineStr">
        <is>
          <t>Smaller than v1.0 assumed: PrimeNG supplies the generic controls. Document surfaces stay custom.</t>
        </is>
      </c>
      <c r="F252" s="44" t="n"/>
      <c r="G252" s="44" t="inlineStr">
        <is>
          <t>EPIC-M</t>
        </is>
      </c>
      <c r="H252" s="46" t="inlineStr">
        <is>
          <t>Highest</t>
        </is>
      </c>
      <c r="I252" s="46" t="n">
        <v>5</v>
      </c>
      <c r="J252" s="46">
        <f>SUM(J253:J255)</f>
        <v/>
      </c>
      <c r="K252" s="44" t="n"/>
      <c r="L252" s="44" t="inlineStr">
        <is>
          <t>M0 Foundation</t>
        </is>
      </c>
      <c r="M252" s="44" t="inlineStr">
        <is>
          <t>p0,m0</t>
        </is>
      </c>
      <c r="N252" s="43" t="inlineStr">
        <is>
          <t>Done</t>
        </is>
      </c>
      <c r="O252" s="36" t="inlineStr">
        <is>
          <t>3/3 sub-tasks done</t>
        </is>
      </c>
      <c r="P252" s="36" t="inlineStr">
        <is>
          <t>2026-09-22</t>
        </is>
      </c>
    </row>
    <row r="253" ht="15" customHeight="1" s="37">
      <c r="A253" s="47" t="inlineStr">
        <is>
          <t>M1-T1</t>
        </is>
      </c>
      <c r="B253" s="47" t="inlineStr">
        <is>
          <t>M1</t>
        </is>
      </c>
      <c r="C253" s="47" t="inlineStr">
        <is>
          <t>Sub-task</t>
        </is>
      </c>
      <c r="D253" s="48" t="inlineStr">
        <is>
          <t>Token system: colour, type, spacing from screen spec</t>
        </is>
      </c>
      <c r="E253" s="49" t="n"/>
      <c r="F253" s="47" t="n"/>
      <c r="G253" s="47" t="n"/>
      <c r="H253" s="50" t="inlineStr">
        <is>
          <t>Highest</t>
        </is>
      </c>
      <c r="I253" s="50" t="n"/>
      <c r="J253" s="50" t="n">
        <v>8</v>
      </c>
      <c r="K253" s="47" t="inlineStr">
        <is>
          <t>Design</t>
        </is>
      </c>
      <c r="L253" s="47" t="inlineStr">
        <is>
          <t>M0 Foundation</t>
        </is>
      </c>
      <c r="M253" s="47" t="inlineStr">
        <is>
          <t>design</t>
        </is>
      </c>
      <c r="N253" s="43" t="inlineStr">
        <is>
          <t>Done</t>
        </is>
      </c>
      <c r="O253" s="36" t="inlineStr">
        <is>
          <t>styles.scss tokens</t>
        </is>
      </c>
      <c r="P253" s="36" t="inlineStr">
        <is>
          <t>2026-09-22</t>
        </is>
      </c>
    </row>
    <row r="254" ht="15" customHeight="1" s="37">
      <c r="A254" s="47" t="inlineStr">
        <is>
          <t>M1-T2</t>
        </is>
      </c>
      <c r="B254" s="47" t="inlineStr">
        <is>
          <t>M1</t>
        </is>
      </c>
      <c r="C254" s="47" t="inlineStr">
        <is>
          <t>Sub-task</t>
        </is>
      </c>
      <c r="D254" s="48" t="inlineStr">
        <is>
          <t>Custom document surfaces: reader, step list, control block, diff view</t>
        </is>
      </c>
      <c r="E254" s="49" t="n"/>
      <c r="F254" s="47" t="n"/>
      <c r="G254" s="47" t="n"/>
      <c r="H254" s="50" t="inlineStr">
        <is>
          <t>Highest</t>
        </is>
      </c>
      <c r="I254" s="50" t="n"/>
      <c r="J254" s="50" t="n">
        <v>14</v>
      </c>
      <c r="K254" s="47" t="inlineStr">
        <is>
          <t>Frontend</t>
        </is>
      </c>
      <c r="L254" s="47" t="inlineStr">
        <is>
          <t>M0 Foundation</t>
        </is>
      </c>
      <c r="M254" s="47" t="inlineStr">
        <is>
          <t>frontend</t>
        </is>
      </c>
      <c r="N254" s="43" t="inlineStr">
        <is>
          <t>Done</t>
        </is>
      </c>
      <c r="P254" s="36" t="inlineStr">
        <is>
          <t>2026-09-22</t>
        </is>
      </c>
    </row>
    <row r="255" ht="15" customHeight="1" s="37">
      <c r="A255" s="47" t="inlineStr">
        <is>
          <t>M1-T3</t>
        </is>
      </c>
      <c r="B255" s="47" t="inlineStr">
        <is>
          <t>M1</t>
        </is>
      </c>
      <c r="C255" s="47" t="inlineStr">
        <is>
          <t>Sub-task</t>
        </is>
      </c>
      <c r="D255" s="48" t="inlineStr">
        <is>
          <t>State pill component, word always present alongside colour</t>
        </is>
      </c>
      <c r="E255" s="49" t="n"/>
      <c r="F255" s="47" t="n"/>
      <c r="G255" s="47" t="n"/>
      <c r="H255" s="50" t="inlineStr">
        <is>
          <t>Highest</t>
        </is>
      </c>
      <c r="I255" s="50" t="n"/>
      <c r="J255" s="50" t="n">
        <v>4</v>
      </c>
      <c r="K255" s="47" t="inlineStr">
        <is>
          <t>Frontend</t>
        </is>
      </c>
      <c r="L255" s="47" t="inlineStr">
        <is>
          <t>M0 Foundation</t>
        </is>
      </c>
      <c r="M255" s="47" t="inlineStr">
        <is>
          <t>frontend</t>
        </is>
      </c>
      <c r="N255" s="43" t="inlineStr">
        <is>
          <t>Done</t>
        </is>
      </c>
      <c r="P255" s="36" t="inlineStr">
        <is>
          <t>2026-09-22</t>
        </is>
      </c>
    </row>
    <row r="256" ht="15" customHeight="1" s="37">
      <c r="A256" s="44" t="inlineStr">
        <is>
          <t>M2</t>
        </is>
      </c>
      <c r="B256" s="44" t="inlineStr">
        <is>
          <t>EPIC-M</t>
        </is>
      </c>
      <c r="C256" s="44" t="inlineStr">
        <is>
          <t>Story</t>
        </is>
      </c>
      <c r="D256" s="45" t="inlineStr">
        <is>
          <t>As a developer, CI runs lint, type-check, tests and build on every push.</t>
        </is>
      </c>
      <c r="E256" s="45" t="n"/>
      <c r="F256" s="44" t="n"/>
      <c r="G256" s="44" t="inlineStr">
        <is>
          <t>EPIC-M</t>
        </is>
      </c>
      <c r="H256" s="46" t="inlineStr">
        <is>
          <t>Highest</t>
        </is>
      </c>
      <c r="I256" s="46" t="n">
        <v>5</v>
      </c>
      <c r="J256" s="46">
        <f>SUM(J257:J258)</f>
        <v/>
      </c>
      <c r="K256" s="44" t="n"/>
      <c r="L256" s="44" t="inlineStr">
        <is>
          <t>M0 Foundation</t>
        </is>
      </c>
      <c r="M256" s="44" t="inlineStr">
        <is>
          <t>p0,m0</t>
        </is>
      </c>
      <c r="N256" s="51" t="inlineStr">
        <is>
          <t>In Progress</t>
        </is>
      </c>
      <c r="O256" s="36" t="inlineStr">
        <is>
          <t>1/2 sub-tasks done</t>
        </is>
      </c>
      <c r="P256" s="36" t="inlineStr">
        <is>
          <t>2026-09-22</t>
        </is>
      </c>
    </row>
    <row r="257" ht="15" customHeight="1" s="37">
      <c r="A257" s="47" t="inlineStr">
        <is>
          <t>M2-T1</t>
        </is>
      </c>
      <c r="B257" s="47" t="inlineStr">
        <is>
          <t>M2</t>
        </is>
      </c>
      <c r="C257" s="47" t="inlineStr">
        <is>
          <t>Sub-task</t>
        </is>
      </c>
      <c r="D257" s="48" t="inlineStr">
        <is>
          <t>CI: Pint, PHPStan, PHPUnit, ESLint, Angular build</t>
        </is>
      </c>
      <c r="E257" s="49" t="n"/>
      <c r="F257" s="47" t="n"/>
      <c r="G257" s="47" t="n"/>
      <c r="H257" s="50" t="inlineStr">
        <is>
          <t>Highest</t>
        </is>
      </c>
      <c r="I257" s="50" t="n"/>
      <c r="J257" s="50" t="n">
        <v>8</v>
      </c>
      <c r="K257" s="47" t="inlineStr">
        <is>
          <t>Infra</t>
        </is>
      </c>
      <c r="L257" s="47" t="inlineStr">
        <is>
          <t>M0 Foundation</t>
        </is>
      </c>
      <c r="M257" s="47" t="inlineStr">
        <is>
          <t>infra</t>
        </is>
      </c>
      <c r="N257" s="43" t="inlineStr">
        <is>
          <t>Done</t>
        </is>
      </c>
      <c r="O257" s="36" t="inlineStr">
        <is>
          <t>ci.yml</t>
        </is>
      </c>
      <c r="P257" s="36" t="inlineStr">
        <is>
          <t>2026-09-22</t>
        </is>
      </c>
    </row>
    <row r="258" ht="15" customHeight="1" s="37">
      <c r="A258" s="47" t="inlineStr">
        <is>
          <t>M2-T2</t>
        </is>
      </c>
      <c r="B258" s="47" t="inlineStr">
        <is>
          <t>M2</t>
        </is>
      </c>
      <c r="C258" s="47" t="inlineStr">
        <is>
          <t>Sub-task</t>
        </is>
      </c>
      <c r="D258" s="48" t="inlineStr">
        <is>
          <t>CD to staging on merge, production behind a manual gate</t>
        </is>
      </c>
      <c r="E258" s="49" t="n"/>
      <c r="F258" s="47" t="n"/>
      <c r="G258" s="47" t="n"/>
      <c r="H258" s="50" t="inlineStr">
        <is>
          <t>Highest</t>
        </is>
      </c>
      <c r="I258" s="50" t="n"/>
      <c r="J258" s="50" t="n">
        <v>8</v>
      </c>
      <c r="K258" s="47" t="inlineStr">
        <is>
          <t>Infra</t>
        </is>
      </c>
      <c r="L258" s="47" t="inlineStr">
        <is>
          <t>M0 Foundation</t>
        </is>
      </c>
      <c r="M258" s="47" t="inlineStr">
        <is>
          <t>infra</t>
        </is>
      </c>
      <c r="N258" s="52" t="inlineStr">
        <is>
          <t>To Do</t>
        </is>
      </c>
      <c r="O258" s="36" t="inlineStr">
        <is>
          <t>CD not configured</t>
        </is>
      </c>
      <c r="P258" s="36" t="inlineStr">
        <is>
          <t>2026-09-22</t>
        </is>
      </c>
    </row>
    <row r="259" ht="23.85" customHeight="1" s="37">
      <c r="A259" s="44" t="inlineStr">
        <is>
          <t>M3</t>
        </is>
      </c>
      <c r="B259" s="44" t="inlineStr">
        <is>
          <t>EPIC-M</t>
        </is>
      </c>
      <c r="C259" s="44" t="inlineStr">
        <is>
          <t>Story</t>
        </is>
      </c>
      <c r="D259" s="45" t="inlineStr">
        <is>
          <t>As a developer, environments are separated and schema changes ship as versioned migrations.</t>
        </is>
      </c>
      <c r="E259" s="45" t="inlineStr">
        <is>
          <t>No manual production SQL, ever.</t>
        </is>
      </c>
      <c r="F259" s="44" t="n"/>
      <c r="G259" s="44" t="inlineStr">
        <is>
          <t>EPIC-M</t>
        </is>
      </c>
      <c r="H259" s="46" t="inlineStr">
        <is>
          <t>Highest</t>
        </is>
      </c>
      <c r="I259" s="46" t="n">
        <v>5</v>
      </c>
      <c r="J259" s="46">
        <f>SUM(J260:J263)</f>
        <v/>
      </c>
      <c r="K259" s="44" t="n"/>
      <c r="L259" s="44" t="inlineStr">
        <is>
          <t>M0 Foundation</t>
        </is>
      </c>
      <c r="M259" s="44" t="inlineStr">
        <is>
          <t>p0,m0</t>
        </is>
      </c>
      <c r="N259" s="51" t="inlineStr">
        <is>
          <t>In Progress</t>
        </is>
      </c>
      <c r="O259" s="36" t="inlineStr">
        <is>
          <t>2/4 sub-tasks done</t>
        </is>
      </c>
      <c r="P259" s="36" t="inlineStr">
        <is>
          <t>2026-09-22</t>
        </is>
      </c>
    </row>
    <row r="260" ht="15" customHeight="1" s="37">
      <c r="A260" s="47" t="inlineStr">
        <is>
          <t>M3-T1</t>
        </is>
      </c>
      <c r="B260" s="47" t="inlineStr">
        <is>
          <t>M3</t>
        </is>
      </c>
      <c r="C260" s="47" t="inlineStr">
        <is>
          <t>Sub-task</t>
        </is>
      </c>
      <c r="D260" s="48" t="inlineStr">
        <is>
          <t>App Platform spec in infra/do/app.yaml: web plus worker components</t>
        </is>
      </c>
      <c r="E260" s="49" t="n"/>
      <c r="F260" s="47" t="n"/>
      <c r="G260" s="47" t="n"/>
      <c r="H260" s="50" t="inlineStr">
        <is>
          <t>Highest</t>
        </is>
      </c>
      <c r="I260" s="50" t="n"/>
      <c r="J260" s="50" t="n">
        <v>10</v>
      </c>
      <c r="K260" s="47" t="inlineStr">
        <is>
          <t>Infra</t>
        </is>
      </c>
      <c r="L260" s="47" t="inlineStr">
        <is>
          <t>M0 Foundation</t>
        </is>
      </c>
      <c r="M260" s="47" t="inlineStr">
        <is>
          <t>infra</t>
        </is>
      </c>
      <c r="N260" s="43" t="inlineStr">
        <is>
          <t>Done</t>
        </is>
      </c>
      <c r="O260" s="36" t="inlineStr">
        <is>
          <t>+ scheduler component</t>
        </is>
      </c>
      <c r="P260" s="36" t="inlineStr">
        <is>
          <t>2026-09-22</t>
        </is>
      </c>
    </row>
    <row r="261" ht="15" customHeight="1" s="37">
      <c r="A261" s="47" t="inlineStr">
        <is>
          <t>M3-T2</t>
        </is>
      </c>
      <c r="B261" s="47" t="inlineStr">
        <is>
          <t>M3</t>
        </is>
      </c>
      <c r="C261" s="47" t="inlineStr">
        <is>
          <t>Sub-task</t>
        </is>
      </c>
      <c r="D261" s="48" t="inlineStr">
        <is>
          <t>Managed MySQL and Valkey per environment with TLS enforced</t>
        </is>
      </c>
      <c r="E261" s="49" t="n"/>
      <c r="F261" s="47" t="n"/>
      <c r="G261" s="47" t="n"/>
      <c r="H261" s="50" t="inlineStr">
        <is>
          <t>Highest</t>
        </is>
      </c>
      <c r="I261" s="50" t="n"/>
      <c r="J261" s="50" t="n">
        <v>6</v>
      </c>
      <c r="K261" s="47" t="inlineStr">
        <is>
          <t>Infra</t>
        </is>
      </c>
      <c r="L261" s="47" t="inlineStr">
        <is>
          <t>M0 Foundation</t>
        </is>
      </c>
      <c r="M261" s="47" t="inlineStr">
        <is>
          <t>infra</t>
        </is>
      </c>
      <c r="N261" s="51" t="inlineStr">
        <is>
          <t>In Progress</t>
        </is>
      </c>
      <c r="O261" s="36" t="inlineStr">
        <is>
          <t>spec written; provisioning is an ops step</t>
        </is>
      </c>
      <c r="P261" s="36" t="inlineStr">
        <is>
          <t>2026-09-22</t>
        </is>
      </c>
    </row>
    <row r="262" ht="15" customHeight="1" s="37">
      <c r="A262" s="47" t="inlineStr">
        <is>
          <t>M3-T3</t>
        </is>
      </c>
      <c r="B262" s="47" t="inlineStr">
        <is>
          <t>M3</t>
        </is>
      </c>
      <c r="C262" s="47" t="inlineStr">
        <is>
          <t>Sub-task</t>
        </is>
      </c>
      <c r="D262" s="48" t="inlineStr">
        <is>
          <t>Laravel migrations as a pre-deploy job, with rollback drill</t>
        </is>
      </c>
      <c r="E262" s="49" t="n"/>
      <c r="F262" s="47" t="n"/>
      <c r="G262" s="47" t="n"/>
      <c r="H262" s="50" t="inlineStr">
        <is>
          <t>Highest</t>
        </is>
      </c>
      <c r="I262" s="50" t="n"/>
      <c r="J262" s="50" t="n">
        <v>6</v>
      </c>
      <c r="K262" s="47" t="inlineStr">
        <is>
          <t>Infra</t>
        </is>
      </c>
      <c r="L262" s="47" t="inlineStr">
        <is>
          <t>M0 Foundation</t>
        </is>
      </c>
      <c r="M262" s="47" t="inlineStr">
        <is>
          <t>infra</t>
        </is>
      </c>
      <c r="N262" s="51" t="inlineStr">
        <is>
          <t>In Progress</t>
        </is>
      </c>
      <c r="O262" s="36" t="inlineStr">
        <is>
          <t>pre-deploy migrate job; rollback drill not done</t>
        </is>
      </c>
      <c r="P262" s="36" t="inlineStr">
        <is>
          <t>2026-09-22</t>
        </is>
      </c>
    </row>
    <row r="263" ht="15" customHeight="1" s="37">
      <c r="A263" s="47" t="inlineStr">
        <is>
          <t>M3-T4</t>
        </is>
      </c>
      <c r="B263" s="47" t="inlineStr">
        <is>
          <t>M3</t>
        </is>
      </c>
      <c r="C263" s="47" t="inlineStr">
        <is>
          <t>Sub-task</t>
        </is>
      </c>
      <c r="D263" s="48" t="inlineStr">
        <is>
          <t>FFmpeg in the worker image for frame extraction</t>
        </is>
      </c>
      <c r="E263" s="49" t="n"/>
      <c r="F263" s="47" t="n"/>
      <c r="G263" s="47" t="n"/>
      <c r="H263" s="50" t="inlineStr">
        <is>
          <t>Highest</t>
        </is>
      </c>
      <c r="I263" s="50" t="n"/>
      <c r="J263" s="50" t="n">
        <v>3</v>
      </c>
      <c r="K263" s="47" t="inlineStr">
        <is>
          <t>Infra</t>
        </is>
      </c>
      <c r="L263" s="47" t="inlineStr">
        <is>
          <t>M0 Foundation</t>
        </is>
      </c>
      <c r="M263" s="47" t="inlineStr">
        <is>
          <t>infra</t>
        </is>
      </c>
      <c r="N263" s="43" t="inlineStr">
        <is>
          <t>Done</t>
        </is>
      </c>
      <c r="O263" s="36" t="inlineStr">
        <is>
          <t>Dockerfile.worker</t>
        </is>
      </c>
      <c r="P263" s="36" t="inlineStr">
        <is>
          <t>2026-09-22</t>
        </is>
      </c>
    </row>
    <row r="264" ht="15" customHeight="1" s="37">
      <c r="A264" s="44" t="inlineStr">
        <is>
          <t>M4</t>
        </is>
      </c>
      <c r="B264" s="44" t="inlineStr">
        <is>
          <t>EPIC-M</t>
        </is>
      </c>
      <c r="C264" s="44" t="inlineStr">
        <is>
          <t>Story</t>
        </is>
      </c>
      <c r="D264" s="45" t="inlineStr">
        <is>
          <t>As an operator, I can see pipeline health and get alerted before users notice.</t>
        </is>
      </c>
      <c r="E264" s="45" t="n"/>
      <c r="F264" s="44" t="n"/>
      <c r="G264" s="44" t="inlineStr">
        <is>
          <t>EPIC-M</t>
        </is>
      </c>
      <c r="H264" s="46" t="inlineStr">
        <is>
          <t>High</t>
        </is>
      </c>
      <c r="I264" s="46" t="n">
        <v>5</v>
      </c>
      <c r="J264" s="46">
        <f>SUM(J265:J268)</f>
        <v/>
      </c>
      <c r="K264" s="44" t="n"/>
      <c r="L264" s="44" t="inlineStr">
        <is>
          <t>M1 Prove the wedge</t>
        </is>
      </c>
      <c r="M264" s="44" t="inlineStr">
        <is>
          <t>p1,m1</t>
        </is>
      </c>
      <c r="N264" s="51" t="inlineStr">
        <is>
          <t>In Progress</t>
        </is>
      </c>
      <c r="O264" s="36" t="inlineStr">
        <is>
          <t>0/4 sub-tasks done</t>
        </is>
      </c>
      <c r="P264" s="36" t="inlineStr">
        <is>
          <t>2026-09-22</t>
        </is>
      </c>
    </row>
    <row r="265" ht="15" customHeight="1" s="37">
      <c r="A265" s="47" t="inlineStr">
        <is>
          <t>M4-T1</t>
        </is>
      </c>
      <c r="B265" s="47" t="inlineStr">
        <is>
          <t>M4</t>
        </is>
      </c>
      <c r="C265" s="47" t="inlineStr">
        <is>
          <t>Sub-task</t>
        </is>
      </c>
      <c r="D265" s="48" t="inlineStr">
        <is>
          <t>Sentry SDK wired into Laravel and Angular with release tagging</t>
        </is>
      </c>
      <c r="E265" s="49" t="n"/>
      <c r="F265" s="47" t="n"/>
      <c r="G265" s="47" t="n"/>
      <c r="H265" s="50" t="inlineStr">
        <is>
          <t>High</t>
        </is>
      </c>
      <c r="I265" s="50" t="n"/>
      <c r="J265" s="50" t="n">
        <v>5</v>
      </c>
      <c r="K265" s="47" t="inlineStr">
        <is>
          <t>Infra</t>
        </is>
      </c>
      <c r="L265" s="47" t="inlineStr">
        <is>
          <t>M1 Prove the wedge</t>
        </is>
      </c>
      <c r="M265" s="47" t="inlineStr">
        <is>
          <t>infra</t>
        </is>
      </c>
      <c r="N265" s="52" t="inlineStr">
        <is>
          <t>To Do</t>
        </is>
      </c>
      <c r="P265" s="36" t="inlineStr">
        <is>
          <t>2026-09-22</t>
        </is>
      </c>
    </row>
    <row r="266" ht="15" customHeight="1" s="37">
      <c r="A266" s="47" t="inlineStr">
        <is>
          <t>M4-T2</t>
        </is>
      </c>
      <c r="B266" s="47" t="inlineStr">
        <is>
          <t>M4</t>
        </is>
      </c>
      <c r="C266" s="47" t="inlineStr">
        <is>
          <t>Sub-task</t>
        </is>
      </c>
      <c r="D266" s="48" t="inlineStr">
        <is>
          <t>Structured logging per pipeline stage to stdout</t>
        </is>
      </c>
      <c r="E266" s="49" t="n"/>
      <c r="F266" s="47" t="n"/>
      <c r="G266" s="47" t="n"/>
      <c r="H266" s="50" t="inlineStr">
        <is>
          <t>High</t>
        </is>
      </c>
      <c r="I266" s="50" t="n"/>
      <c r="J266" s="50" t="n">
        <v>5</v>
      </c>
      <c r="K266" s="47" t="inlineStr">
        <is>
          <t>Infra</t>
        </is>
      </c>
      <c r="L266" s="47" t="inlineStr">
        <is>
          <t>M1 Prove the wedge</t>
        </is>
      </c>
      <c r="M266" s="47" t="inlineStr">
        <is>
          <t>infra</t>
        </is>
      </c>
      <c r="N266" s="51" t="inlineStr">
        <is>
          <t>In Progress</t>
        </is>
      </c>
      <c r="O266" s="36" t="inlineStr">
        <is>
          <t>pipeline_jobs status/errors; structured stdout logging not added</t>
        </is>
      </c>
      <c r="P266" s="36" t="inlineStr">
        <is>
          <t>2026-09-22</t>
        </is>
      </c>
    </row>
    <row r="267" ht="15" customHeight="1" s="37">
      <c r="A267" s="47" t="inlineStr">
        <is>
          <t>M4-T3</t>
        </is>
      </c>
      <c r="B267" s="47" t="inlineStr">
        <is>
          <t>M4</t>
        </is>
      </c>
      <c r="C267" s="47" t="inlineStr">
        <is>
          <t>Sub-task</t>
        </is>
      </c>
      <c r="D267" s="48" t="inlineStr">
        <is>
          <t>Metrics and dashboards: success rate, latency, cost per SOP</t>
        </is>
      </c>
      <c r="E267" s="49" t="n"/>
      <c r="F267" s="47" t="n"/>
      <c r="G267" s="47" t="n"/>
      <c r="H267" s="50" t="inlineStr">
        <is>
          <t>High</t>
        </is>
      </c>
      <c r="I267" s="50" t="n"/>
      <c r="J267" s="50" t="n">
        <v>8</v>
      </c>
      <c r="K267" s="47" t="inlineStr">
        <is>
          <t>Infra</t>
        </is>
      </c>
      <c r="L267" s="47" t="inlineStr">
        <is>
          <t>M1 Prove the wedge</t>
        </is>
      </c>
      <c r="M267" s="47" t="inlineStr">
        <is>
          <t>infra</t>
        </is>
      </c>
      <c r="N267" s="52" t="inlineStr">
        <is>
          <t>To Do</t>
        </is>
      </c>
      <c r="P267" s="36" t="inlineStr">
        <is>
          <t>2026-09-22</t>
        </is>
      </c>
    </row>
    <row r="268" ht="15" customHeight="1" s="37">
      <c r="A268" s="47" t="inlineStr">
        <is>
          <t>M4-T4</t>
        </is>
      </c>
      <c r="B268" s="47" t="inlineStr">
        <is>
          <t>M4</t>
        </is>
      </c>
      <c r="C268" s="47" t="inlineStr">
        <is>
          <t>Sub-task</t>
        </is>
      </c>
      <c r="D268" s="48" t="inlineStr">
        <is>
          <t>Alerts: generation failures, embedding backlog, unindexed approved docs</t>
        </is>
      </c>
      <c r="E268" s="49" t="n"/>
      <c r="F268" s="47" t="n"/>
      <c r="G268" s="47" t="n"/>
      <c r="H268" s="50" t="inlineStr">
        <is>
          <t>High</t>
        </is>
      </c>
      <c r="I268" s="50" t="n"/>
      <c r="J268" s="50" t="n">
        <v>5</v>
      </c>
      <c r="K268" s="47" t="inlineStr">
        <is>
          <t>Infra</t>
        </is>
      </c>
      <c r="L268" s="47" t="inlineStr">
        <is>
          <t>M1 Prove the wedge</t>
        </is>
      </c>
      <c r="M268" s="47" t="inlineStr">
        <is>
          <t>infra</t>
        </is>
      </c>
      <c r="N268" s="52" t="inlineStr">
        <is>
          <t>To Do</t>
        </is>
      </c>
      <c r="P268" s="36" t="inlineStr">
        <is>
          <t>2026-09-22</t>
        </is>
      </c>
    </row>
    <row r="269" ht="35.05" customHeight="1" s="37">
      <c r="A269" s="44" t="inlineStr">
        <is>
          <t>M5</t>
        </is>
      </c>
      <c r="B269" s="44" t="inlineStr">
        <is>
          <t>EPIC-M</t>
        </is>
      </c>
      <c r="C269" s="44" t="inlineStr">
        <is>
          <t>Story</t>
        </is>
      </c>
      <c r="D269" s="45" t="inlineStr">
        <is>
          <t>As a developer, the PrimeNG Aura preset is configured to the Hub brand without colliding with document state.</t>
        </is>
      </c>
      <c r="E269" s="45" t="inlineStr">
        <is>
          <t>Gold and draft amber share a hue family, and Aura paints primary across every control. Left at default this breaks the rule that colour means state.</t>
        </is>
      </c>
      <c r="F269" s="44" t="n"/>
      <c r="G269" s="44" t="inlineStr">
        <is>
          <t>EPIC-M</t>
        </is>
      </c>
      <c r="H269" s="46" t="inlineStr">
        <is>
          <t>Highest</t>
        </is>
      </c>
      <c r="I269" s="46" t="n">
        <v>8</v>
      </c>
      <c r="J269" s="46">
        <f>SUM(J270:J273)</f>
        <v/>
      </c>
      <c r="K269" s="44" t="n"/>
      <c r="L269" s="44" t="inlineStr">
        <is>
          <t>M0 Foundation</t>
        </is>
      </c>
      <c r="M269" s="44" t="inlineStr">
        <is>
          <t>p0,m0</t>
        </is>
      </c>
      <c r="N269" s="51" t="inlineStr">
        <is>
          <t>In Progress</t>
        </is>
      </c>
      <c r="O269" s="36" t="inlineStr">
        <is>
          <t>3/4 sub-tasks done</t>
        </is>
      </c>
      <c r="P269" s="36" t="inlineStr">
        <is>
          <t>2026-09-22</t>
        </is>
      </c>
    </row>
    <row r="270" ht="15" customHeight="1" s="37">
      <c r="A270" s="47" t="inlineStr">
        <is>
          <t>M5-T1</t>
        </is>
      </c>
      <c r="B270" s="47" t="inlineStr">
        <is>
          <t>M5</t>
        </is>
      </c>
      <c r="C270" s="47" t="inlineStr">
        <is>
          <t>Sub-task</t>
        </is>
      </c>
      <c r="D270" s="48" t="inlineStr">
        <is>
          <t>Override Aura primary palette to navy #1E2761</t>
        </is>
      </c>
      <c r="E270" s="49" t="n"/>
      <c r="F270" s="47" t="n"/>
      <c r="G270" s="47" t="n"/>
      <c r="H270" s="50" t="inlineStr">
        <is>
          <t>Highest</t>
        </is>
      </c>
      <c r="I270" s="50" t="n"/>
      <c r="J270" s="50" t="n">
        <v>6</v>
      </c>
      <c r="K270" s="47" t="inlineStr">
        <is>
          <t>Frontend</t>
        </is>
      </c>
      <c r="L270" s="47" t="inlineStr">
        <is>
          <t>M0 Foundation</t>
        </is>
      </c>
      <c r="M270" s="47" t="inlineStr">
        <is>
          <t>frontend</t>
        </is>
      </c>
      <c r="N270" s="43" t="inlineStr">
        <is>
          <t>Done</t>
        </is>
      </c>
      <c r="P270" s="36" t="inlineStr">
        <is>
          <t>2026-09-22</t>
        </is>
      </c>
    </row>
    <row r="271" ht="15" customHeight="1" s="37">
      <c r="A271" s="47" t="inlineStr">
        <is>
          <t>M5-T2</t>
        </is>
      </c>
      <c r="B271" s="47" t="inlineStr">
        <is>
          <t>M5</t>
        </is>
      </c>
      <c r="C271" s="47" t="inlineStr">
        <is>
          <t>Sub-task</t>
        </is>
      </c>
      <c r="D271" s="48" t="inlineStr">
        <is>
          <t>Map ice #CADCFC to selection and focus; confine gold to brand surfaces</t>
        </is>
      </c>
      <c r="E271" s="49" t="n"/>
      <c r="F271" s="47" t="n"/>
      <c r="G271" s="47" t="n"/>
      <c r="H271" s="50" t="inlineStr">
        <is>
          <t>Highest</t>
        </is>
      </c>
      <c r="I271" s="50" t="n"/>
      <c r="J271" s="50" t="n">
        <v>5</v>
      </c>
      <c r="K271" s="47" t="inlineStr">
        <is>
          <t>Design</t>
        </is>
      </c>
      <c r="L271" s="47" t="inlineStr">
        <is>
          <t>M0 Foundation</t>
        </is>
      </c>
      <c r="M271" s="47" t="inlineStr">
        <is>
          <t>design</t>
        </is>
      </c>
      <c r="N271" s="43" t="inlineStr">
        <is>
          <t>Done</t>
        </is>
      </c>
      <c r="P271" s="36" t="inlineStr">
        <is>
          <t>2026-09-22</t>
        </is>
      </c>
    </row>
    <row r="272" ht="15" customHeight="1" s="37">
      <c r="A272" s="47" t="inlineStr">
        <is>
          <t>M5-T3</t>
        </is>
      </c>
      <c r="B272" s="47" t="inlineStr">
        <is>
          <t>M5</t>
        </is>
      </c>
      <c r="C272" s="47" t="inlineStr">
        <is>
          <t>Sub-task</t>
        </is>
      </c>
      <c r="D272" s="48" t="inlineStr">
        <is>
          <t>Override Aura radius and density toward the controlled-document look</t>
        </is>
      </c>
      <c r="E272" s="49" t="n"/>
      <c r="F272" s="47" t="n"/>
      <c r="G272" s="47" t="n"/>
      <c r="H272" s="50" t="inlineStr">
        <is>
          <t>Highest</t>
        </is>
      </c>
      <c r="I272" s="50" t="n"/>
      <c r="J272" s="50" t="n">
        <v>6</v>
      </c>
      <c r="K272" s="47" t="inlineStr">
        <is>
          <t>Frontend</t>
        </is>
      </c>
      <c r="L272" s="47" t="inlineStr">
        <is>
          <t>M0 Foundation</t>
        </is>
      </c>
      <c r="M272" s="47" t="inlineStr">
        <is>
          <t>frontend</t>
        </is>
      </c>
      <c r="N272" s="43" t="inlineStr">
        <is>
          <t>Done</t>
        </is>
      </c>
      <c r="P272" s="36" t="inlineStr">
        <is>
          <t>2026-09-22</t>
        </is>
      </c>
    </row>
    <row r="273" ht="15" customHeight="1" s="37">
      <c r="A273" s="47" t="inlineStr">
        <is>
          <t>M5-T4</t>
        </is>
      </c>
      <c r="B273" s="47" t="inlineStr">
        <is>
          <t>M5</t>
        </is>
      </c>
      <c r="C273" s="47" t="inlineStr">
        <is>
          <t>Sub-task</t>
        </is>
      </c>
      <c r="D273" s="48" t="inlineStr">
        <is>
          <t>Verify review-blue pill against navy chrome and check AA contrast</t>
        </is>
      </c>
      <c r="E273" s="49" t="n"/>
      <c r="F273" s="47" t="n"/>
      <c r="G273" s="47" t="n"/>
      <c r="H273" s="50" t="inlineStr">
        <is>
          <t>Highest</t>
        </is>
      </c>
      <c r="I273" s="50" t="n"/>
      <c r="J273" s="50" t="n">
        <v>4</v>
      </c>
      <c r="K273" s="47" t="inlineStr">
        <is>
          <t>QA</t>
        </is>
      </c>
      <c r="L273" s="47" t="inlineStr">
        <is>
          <t>M0 Foundation</t>
        </is>
      </c>
      <c r="M273" s="47" t="inlineStr">
        <is>
          <t>qa</t>
        </is>
      </c>
      <c r="N273" s="51" t="inlineStr">
        <is>
          <t>In Progress</t>
        </is>
      </c>
      <c r="O273" s="36" t="inlineStr">
        <is>
          <t>visual check pending</t>
        </is>
      </c>
      <c r="P273" s="36" t="inlineStr">
        <is>
          <t>2026-09-22</t>
        </is>
      </c>
    </row>
  </sheetData>
  <autoFilter ref="A1:M27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8" customWidth="1" style="37" min="1" max="1"/>
    <col width="34" customWidth="1" style="37" min="2" max="2"/>
    <col width="10" customWidth="1" style="37" min="3" max="3"/>
    <col width="8" customWidth="1" style="37" min="4" max="4"/>
    <col width="12" customWidth="1" style="37" min="5" max="5"/>
    <col width="8" customWidth="1" style="37" min="6" max="6"/>
    <col width="9" customWidth="1" style="37" min="7" max="7"/>
    <col width="9" customWidth="1" style="37" min="8" max="8"/>
    <col width="13" customWidth="1" style="37" min="9" max="9"/>
  </cols>
  <sheetData>
    <row r="1">
      <c r="A1" s="39" t="inlineStr">
        <is>
          <t>Progress as of 2026-09-23 — derived from the Status column on 'Jira Import'</t>
        </is>
      </c>
    </row>
    <row r="3">
      <c r="A3" s="39" t="inlineStr">
        <is>
          <t>Epic</t>
        </is>
      </c>
      <c r="B3" s="39" t="inlineStr">
        <is>
          <t>Name</t>
        </is>
      </c>
      <c r="C3" s="39" t="inlineStr">
        <is>
          <t>Sub-tasks</t>
        </is>
      </c>
      <c r="D3" s="39" t="inlineStr">
        <is>
          <t>Done</t>
        </is>
      </c>
      <c r="E3" s="39" t="inlineStr">
        <is>
          <t>In Progress</t>
        </is>
      </c>
      <c r="F3" s="39" t="inlineStr">
        <is>
          <t>To Do</t>
        </is>
      </c>
      <c r="G3" s="39" t="inlineStr">
        <is>
          <t>Blocked</t>
        </is>
      </c>
      <c r="H3" s="39" t="inlineStr">
        <is>
          <t>% done</t>
        </is>
      </c>
      <c r="I3" s="39" t="inlineStr">
        <is>
          <t>Stories done</t>
        </is>
      </c>
    </row>
    <row r="4">
      <c r="A4" s="36" t="inlineStr">
        <is>
          <t>A</t>
        </is>
      </c>
      <c r="B4" s="36" t="inlineStr">
        <is>
          <t>A — Foundation &amp; tenancy</t>
        </is>
      </c>
      <c r="C4" s="36" t="n">
        <v>20</v>
      </c>
      <c r="D4" s="36" t="n">
        <v>20</v>
      </c>
      <c r="E4" s="36" t="n">
        <v>0</v>
      </c>
      <c r="F4" s="36" t="n">
        <v>0</v>
      </c>
      <c r="G4" s="36" t="n">
        <v>0</v>
      </c>
      <c r="H4" s="54" t="n">
        <v>1</v>
      </c>
      <c r="I4" s="36" t="inlineStr">
        <is>
          <t>5/5</t>
        </is>
      </c>
    </row>
    <row r="5">
      <c r="A5" s="36" t="inlineStr">
        <is>
          <t>B</t>
        </is>
      </c>
      <c r="B5" s="36" t="inlineStr">
        <is>
          <t>B — Editor &amp; document model</t>
        </is>
      </c>
      <c r="C5" s="36" t="n">
        <v>21</v>
      </c>
      <c r="D5" s="36" t="n">
        <v>21</v>
      </c>
      <c r="E5" s="36" t="n">
        <v>0</v>
      </c>
      <c r="F5" s="36" t="n">
        <v>0</v>
      </c>
      <c r="G5" s="36" t="n">
        <v>0</v>
      </c>
      <c r="H5" s="54" t="n">
        <v>1</v>
      </c>
      <c r="I5" s="36" t="inlineStr">
        <is>
          <t>7/7</t>
        </is>
      </c>
    </row>
    <row r="6">
      <c r="A6" s="36" t="inlineStr">
        <is>
          <t>C</t>
        </is>
      </c>
      <c r="B6" s="36" t="inlineStr">
        <is>
          <t>C — Recording capture</t>
        </is>
      </c>
      <c r="C6" s="36" t="n">
        <v>13</v>
      </c>
      <c r="D6" s="36" t="n">
        <v>13</v>
      </c>
      <c r="E6" s="36" t="n">
        <v>0</v>
      </c>
      <c r="F6" s="36" t="n">
        <v>0</v>
      </c>
      <c r="G6" s="36" t="n">
        <v>0</v>
      </c>
      <c r="H6" s="54" t="n">
        <v>1</v>
      </c>
      <c r="I6" s="36" t="inlineStr">
        <is>
          <t>4/4</t>
        </is>
      </c>
    </row>
    <row r="7">
      <c r="A7" s="36" t="inlineStr">
        <is>
          <t>D</t>
        </is>
      </c>
      <c r="B7" s="36" t="inlineStr">
        <is>
          <t>D — AI SOP generation</t>
        </is>
      </c>
      <c r="C7" s="36" t="n">
        <v>22</v>
      </c>
      <c r="D7" s="36" t="n">
        <v>17</v>
      </c>
      <c r="E7" s="36" t="n">
        <v>0</v>
      </c>
      <c r="F7" s="36" t="n">
        <v>0</v>
      </c>
      <c r="G7" s="36" t="n">
        <v>5</v>
      </c>
      <c r="H7" s="54" t="n">
        <v>0.77</v>
      </c>
      <c r="I7" s="36" t="inlineStr">
        <is>
          <t>3/6</t>
        </is>
      </c>
    </row>
    <row r="8">
      <c r="A8" s="36" t="inlineStr">
        <is>
          <t>E</t>
        </is>
      </c>
      <c r="B8" s="36" t="inlineStr">
        <is>
          <t>E — Governance</t>
        </is>
      </c>
      <c r="C8" s="36" t="n">
        <v>18</v>
      </c>
      <c r="D8" s="36" t="n">
        <v>18</v>
      </c>
      <c r="E8" s="36" t="n">
        <v>0</v>
      </c>
      <c r="F8" s="36" t="n">
        <v>0</v>
      </c>
      <c r="G8" s="36" t="n">
        <v>0</v>
      </c>
      <c r="H8" s="54" t="n">
        <v>1</v>
      </c>
      <c r="I8" s="36" t="inlineStr">
        <is>
          <t>6/6</t>
        </is>
      </c>
    </row>
    <row r="9">
      <c r="A9" s="36" t="inlineStr">
        <is>
          <t>F</t>
        </is>
      </c>
      <c r="B9" s="36" t="inlineStr">
        <is>
          <t>F — Permissions</t>
        </is>
      </c>
      <c r="C9" s="36" t="n">
        <v>9</v>
      </c>
      <c r="D9" s="36" t="n">
        <v>9</v>
      </c>
      <c r="E9" s="36" t="n">
        <v>0</v>
      </c>
      <c r="F9" s="36" t="n">
        <v>0</v>
      </c>
      <c r="G9" s="36" t="n">
        <v>0</v>
      </c>
      <c r="H9" s="54" t="n">
        <v>1</v>
      </c>
      <c r="I9" s="36" t="inlineStr">
        <is>
          <t>3/3</t>
        </is>
      </c>
    </row>
    <row r="10">
      <c r="A10" s="36" t="inlineStr">
        <is>
          <t>G</t>
        </is>
      </c>
      <c r="B10" s="36" t="inlineStr">
        <is>
          <t>G — Search &amp; retrieval</t>
        </is>
      </c>
      <c r="C10" s="36" t="n">
        <v>19</v>
      </c>
      <c r="D10" s="36" t="n">
        <v>16</v>
      </c>
      <c r="E10" s="36" t="n">
        <v>0</v>
      </c>
      <c r="F10" s="36" t="n">
        <v>0</v>
      </c>
      <c r="G10" s="36" t="n">
        <v>3</v>
      </c>
      <c r="H10" s="54" t="n">
        <v>0.84</v>
      </c>
      <c r="I10" s="36" t="inlineStr">
        <is>
          <t>3/6</t>
        </is>
      </c>
    </row>
    <row r="11">
      <c r="A11" s="36" t="inlineStr">
        <is>
          <t>H</t>
        </is>
      </c>
      <c r="B11" s="36" t="inlineStr">
        <is>
          <t>H — Chatbot</t>
        </is>
      </c>
      <c r="C11" s="36" t="n">
        <v>16</v>
      </c>
      <c r="D11" s="36" t="n">
        <v>15</v>
      </c>
      <c r="E11" s="36" t="n">
        <v>0</v>
      </c>
      <c r="F11" s="36" t="n">
        <v>0</v>
      </c>
      <c r="G11" s="36" t="n">
        <v>1</v>
      </c>
      <c r="H11" s="54" t="n">
        <v>0.9399999999999999</v>
      </c>
      <c r="I11" s="36" t="inlineStr">
        <is>
          <t>5/6</t>
        </is>
      </c>
    </row>
    <row r="12">
      <c r="A12" s="36" t="inlineStr">
        <is>
          <t>I</t>
        </is>
      </c>
      <c r="B12" s="36" t="inlineStr">
        <is>
          <t>I — AI utilities</t>
        </is>
      </c>
      <c r="C12" s="36" t="n">
        <v>10</v>
      </c>
      <c r="D12" s="36" t="n">
        <v>10</v>
      </c>
      <c r="E12" s="36" t="n">
        <v>0</v>
      </c>
      <c r="F12" s="36" t="n">
        <v>0</v>
      </c>
      <c r="G12" s="36" t="n">
        <v>0</v>
      </c>
      <c r="H12" s="54" t="n">
        <v>1</v>
      </c>
      <c r="I12" s="36" t="inlineStr">
        <is>
          <t>4/4</t>
        </is>
      </c>
    </row>
    <row r="13">
      <c r="A13" s="36" t="inlineStr">
        <is>
          <t>J</t>
        </is>
      </c>
      <c r="B13" s="36" t="inlineStr">
        <is>
          <t>J — Handbook &amp; acknowledgements</t>
        </is>
      </c>
      <c r="C13" s="36" t="n">
        <v>10</v>
      </c>
      <c r="D13" s="36" t="n">
        <v>10</v>
      </c>
      <c r="E13" s="36" t="n">
        <v>0</v>
      </c>
      <c r="F13" s="36" t="n">
        <v>0</v>
      </c>
      <c r="G13" s="36" t="n">
        <v>0</v>
      </c>
      <c r="H13" s="54" t="n">
        <v>1</v>
      </c>
      <c r="I13" s="36" t="inlineStr">
        <is>
          <t>5/5</t>
        </is>
      </c>
    </row>
    <row r="14">
      <c r="A14" s="36" t="inlineStr">
        <is>
          <t>K</t>
        </is>
      </c>
      <c r="B14" s="36" t="inlineStr">
        <is>
          <t>K — Billing &amp; plans</t>
        </is>
      </c>
      <c r="C14" s="36" t="n">
        <v>11</v>
      </c>
      <c r="D14" s="36" t="n">
        <v>10</v>
      </c>
      <c r="E14" s="36" t="n">
        <v>0</v>
      </c>
      <c r="F14" s="36" t="n">
        <v>0</v>
      </c>
      <c r="G14" s="36" t="n">
        <v>1</v>
      </c>
      <c r="H14" s="54" t="n">
        <v>0.91</v>
      </c>
      <c r="I14" s="36" t="inlineStr">
        <is>
          <t>3/4</t>
        </is>
      </c>
    </row>
    <row r="15">
      <c r="A15" s="36" t="inlineStr">
        <is>
          <t>L</t>
        </is>
      </c>
      <c r="B15" s="36" t="inlineStr">
        <is>
          <t>L — Analytics &amp; operations</t>
        </is>
      </c>
      <c r="C15" s="36" t="n">
        <v>8</v>
      </c>
      <c r="D15" s="36" t="n">
        <v>8</v>
      </c>
      <c r="E15" s="36" t="n">
        <v>0</v>
      </c>
      <c r="F15" s="36" t="n">
        <v>0</v>
      </c>
      <c r="G15" s="36" t="n">
        <v>0</v>
      </c>
      <c r="H15" s="54" t="n">
        <v>1</v>
      </c>
      <c r="I15" s="36" t="inlineStr">
        <is>
          <t>4/4</t>
        </is>
      </c>
    </row>
    <row r="16">
      <c r="A16" s="36" t="inlineStr">
        <is>
          <t>M</t>
        </is>
      </c>
      <c r="B16" s="36" t="inlineStr">
        <is>
          <t>M — Platform &amp; delivery</t>
        </is>
      </c>
      <c r="C16" s="36" t="n">
        <v>17</v>
      </c>
      <c r="D16" s="36" t="n">
        <v>9</v>
      </c>
      <c r="E16" s="36" t="n">
        <v>4</v>
      </c>
      <c r="F16" s="36" t="n">
        <v>4</v>
      </c>
      <c r="G16" s="36" t="n">
        <v>0</v>
      </c>
      <c r="H16" s="54" t="n">
        <v>0.53</v>
      </c>
      <c r="I16" s="36" t="inlineStr">
        <is>
          <t>1/5</t>
        </is>
      </c>
    </row>
    <row r="17">
      <c r="A17" s="39" t="inlineStr">
        <is>
          <t>Total</t>
        </is>
      </c>
      <c r="B17" s="39" t="inlineStr"/>
      <c r="C17" s="39" t="n">
        <v>194</v>
      </c>
      <c r="D17" s="39" t="n">
        <v>176</v>
      </c>
      <c r="E17" s="39" t="n">
        <v>4</v>
      </c>
      <c r="F17" s="39" t="n">
        <v>4</v>
      </c>
      <c r="G17" s="39" t="n">
        <v>10</v>
      </c>
      <c r="H17" s="55" t="n">
        <v>0.91</v>
      </c>
      <c r="I17" s="39" t="inlineStr"/>
    </row>
    <row r="18"/>
    <row r="19">
      <c r="A19" s="39" t="inlineStr">
        <is>
          <t>Status meaning</t>
        </is>
      </c>
    </row>
    <row r="20">
      <c r="A20" s="43" t="inlineStr">
        <is>
          <t>Done</t>
        </is>
      </c>
      <c r="B20" s="36" t="inlineStr">
        <is>
          <t>built, lint-clean, unit/feature tests written. As of 2026-09-23 the API passes the raw-query check, Pint, PHPStan level 6 and all 113 PHPUnit tests on SQLite and on MySQL 8.4 locally; the web app passes lint, 35 tests and the production build; CI confirmation pending the push</t>
        </is>
      </c>
    </row>
    <row r="21">
      <c r="A21" s="51" t="inlineStr">
        <is>
          <t>In Progress</t>
        </is>
      </c>
      <c r="B21" s="36" t="inlineStr">
        <is>
          <t>partly built — see the Status note for what is missing</t>
        </is>
      </c>
    </row>
    <row r="22">
      <c r="A22" s="52" t="inlineStr">
        <is>
          <t>To Do</t>
        </is>
      </c>
      <c r="B22" s="36" t="inlineStr">
        <is>
          <t>not started</t>
        </is>
      </c>
    </row>
    <row r="23">
      <c r="A23" s="53" t="inlineStr">
        <is>
          <t>Blocked</t>
        </is>
      </c>
      <c r="B23" s="36" t="inlineStr">
        <is>
          <t>waiting on a decision, keys or material from the team (transcription provider, billing provider, real recordings)</t>
        </is>
      </c>
    </row>
    <row r="24"/>
    <row r="25">
      <c r="A25" s="36" t="inlineStr">
        <is>
          <t>Commits: docs 5029b6e/3bb6c31 · spike 55515b8 · M0 b58a0df · A 11876e5/1c63003 · B 8f9ead3 · skeleton b0f807f · C b92964a · D 34a494e · CI 5e61028 · E 7d65832 · F 754a141 · M3 a7cf59b · docs 39e31cd · I 57d4bd7 · J b107f9e · K 4c59e48 · L 3fb9d6c · B1 44e896b · Pint 5484896 · FR-8xx f826ebd</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6" min="1" max="1"/>
    <col width="34" customWidth="1" style="36" min="2" max="2"/>
    <col width="9" customWidth="1" style="36" min="3" max="3"/>
    <col width="8" customWidth="1" style="36" min="4" max="4"/>
    <col width="13" customWidth="1" style="36" min="5" max="6"/>
    <col width="15" customWidth="1" style="36" min="7" max="7"/>
    <col width="11" customWidth="1" style="36" min="8" max="8"/>
  </cols>
  <sheetData>
    <row r="1" ht="30" customHeight="1" s="37">
      <c r="A1" s="38" t="inlineStr">
        <is>
          <t>Epic</t>
        </is>
      </c>
      <c r="B1" s="38" t="inlineStr">
        <is>
          <t>Name</t>
        </is>
      </c>
      <c r="C1" s="38" t="inlineStr">
        <is>
          <t>Stories</t>
        </is>
      </c>
      <c r="D1" s="38" t="inlineStr">
        <is>
          <t>Tasks</t>
        </is>
      </c>
      <c r="E1" s="38" t="inlineStr">
        <is>
          <t>Story Points</t>
        </is>
      </c>
      <c r="F1" s="38" t="inlineStr">
        <is>
          <t>Estimate (h)</t>
        </is>
      </c>
      <c r="G1" s="38" t="inlineStr">
        <is>
          <t>Estimate (days)</t>
        </is>
      </c>
      <c r="H1" s="38" t="inlineStr">
        <is>
          <t>% of total</t>
        </is>
      </c>
    </row>
    <row r="2" ht="15" customHeight="1" s="37">
      <c r="A2" s="56" t="inlineStr">
        <is>
          <t>A</t>
        </is>
      </c>
      <c r="B2" s="56" t="inlineStr">
        <is>
          <t>Foundation &amp; tenancy</t>
        </is>
      </c>
      <c r="C2" s="57" t="n">
        <v>5</v>
      </c>
      <c r="D2" s="57" t="n">
        <v>20</v>
      </c>
      <c r="E2" s="57">
        <f>'Jira Import'!I2</f>
        <v/>
      </c>
      <c r="F2" s="57">
        <f>'Jira Import'!J2</f>
        <v/>
      </c>
      <c r="G2" s="58">
        <f>F2/$C$18</f>
        <v/>
      </c>
      <c r="H2" s="59">
        <f>IFERROR(F2/$F$15,0)</f>
        <v/>
      </c>
    </row>
    <row r="3" ht="15" customHeight="1" s="37">
      <c r="A3" s="56" t="inlineStr">
        <is>
          <t>B</t>
        </is>
      </c>
      <c r="B3" s="56" t="inlineStr">
        <is>
          <t>Editor &amp; document model</t>
        </is>
      </c>
      <c r="C3" s="57" t="n">
        <v>7</v>
      </c>
      <c r="D3" s="57" t="n">
        <v>21</v>
      </c>
      <c r="E3" s="57">
        <f>'Jira Import'!I28</f>
        <v/>
      </c>
      <c r="F3" s="57">
        <f>'Jira Import'!J28</f>
        <v/>
      </c>
      <c r="G3" s="58">
        <f>F3/$C$18</f>
        <v/>
      </c>
      <c r="H3" s="59">
        <f>IFERROR(F3/$F$15,0)</f>
        <v/>
      </c>
    </row>
    <row r="4" ht="15" customHeight="1" s="37">
      <c r="A4" s="56" t="inlineStr">
        <is>
          <t>C</t>
        </is>
      </c>
      <c r="B4" s="56" t="inlineStr">
        <is>
          <t>Recording capture</t>
        </is>
      </c>
      <c r="C4" s="57" t="n">
        <v>4</v>
      </c>
      <c r="D4" s="57" t="n">
        <v>13</v>
      </c>
      <c r="E4" s="57">
        <f>'Jira Import'!I57</f>
        <v/>
      </c>
      <c r="F4" s="57">
        <f>'Jira Import'!J57</f>
        <v/>
      </c>
      <c r="G4" s="58">
        <f>F4/$C$18</f>
        <v/>
      </c>
      <c r="H4" s="59">
        <f>IFERROR(F4/$F$15,0)</f>
        <v/>
      </c>
    </row>
    <row r="5" ht="15" customHeight="1" s="37">
      <c r="A5" s="56" t="inlineStr">
        <is>
          <t>D</t>
        </is>
      </c>
      <c r="B5" s="56" t="inlineStr">
        <is>
          <t>AI SOP generation</t>
        </is>
      </c>
      <c r="C5" s="57" t="n">
        <v>6</v>
      </c>
      <c r="D5" s="57" t="n">
        <v>22</v>
      </c>
      <c r="E5" s="57">
        <f>'Jira Import'!I75</f>
        <v/>
      </c>
      <c r="F5" s="57">
        <f>'Jira Import'!J75</f>
        <v/>
      </c>
      <c r="G5" s="58">
        <f>F5/$C$18</f>
        <v/>
      </c>
      <c r="H5" s="59">
        <f>IFERROR(F5/$F$15,0)</f>
        <v/>
      </c>
    </row>
    <row r="6" ht="15" customHeight="1" s="37">
      <c r="A6" s="56" t="inlineStr">
        <is>
          <t>E</t>
        </is>
      </c>
      <c r="B6" s="56" t="inlineStr">
        <is>
          <t>Governance</t>
        </is>
      </c>
      <c r="C6" s="57" t="n">
        <v>6</v>
      </c>
      <c r="D6" s="57" t="n">
        <v>18</v>
      </c>
      <c r="E6" s="57">
        <f>'Jira Import'!I104</f>
        <v/>
      </c>
      <c r="F6" s="57">
        <f>'Jira Import'!J104</f>
        <v/>
      </c>
      <c r="G6" s="58">
        <f>F6/$C$18</f>
        <v/>
      </c>
      <c r="H6" s="59">
        <f>IFERROR(F6/$F$15,0)</f>
        <v/>
      </c>
    </row>
    <row r="7" ht="15" customHeight="1" s="37">
      <c r="A7" s="56" t="inlineStr">
        <is>
          <t>F</t>
        </is>
      </c>
      <c r="B7" s="56" t="inlineStr">
        <is>
          <t>Permissions</t>
        </is>
      </c>
      <c r="C7" s="57" t="n">
        <v>3</v>
      </c>
      <c r="D7" s="57" t="n">
        <v>9</v>
      </c>
      <c r="E7" s="57">
        <f>'Jira Import'!I129</f>
        <v/>
      </c>
      <c r="F7" s="57">
        <f>'Jira Import'!J129</f>
        <v/>
      </c>
      <c r="G7" s="58">
        <f>F7/$C$18</f>
        <v/>
      </c>
      <c r="H7" s="59">
        <f>IFERROR(F7/$F$15,0)</f>
        <v/>
      </c>
    </row>
    <row r="8" ht="15" customHeight="1" s="37">
      <c r="A8" s="56" t="inlineStr">
        <is>
          <t>G</t>
        </is>
      </c>
      <c r="B8" s="56" t="inlineStr">
        <is>
          <t>Search &amp; retrieval</t>
        </is>
      </c>
      <c r="C8" s="57" t="n">
        <v>6</v>
      </c>
      <c r="D8" s="57" t="n">
        <v>19</v>
      </c>
      <c r="E8" s="57">
        <f>'Jira Import'!I142</f>
        <v/>
      </c>
      <c r="F8" s="57">
        <f>'Jira Import'!J142</f>
        <v/>
      </c>
      <c r="G8" s="58">
        <f>F8/$C$18</f>
        <v/>
      </c>
      <c r="H8" s="59">
        <f>IFERROR(F8/$F$15,0)</f>
        <v/>
      </c>
    </row>
    <row r="9" ht="15" customHeight="1" s="37">
      <c r="A9" s="56" t="inlineStr">
        <is>
          <t>H</t>
        </is>
      </c>
      <c r="B9" s="56" t="inlineStr">
        <is>
          <t>Chatbot</t>
        </is>
      </c>
      <c r="C9" s="57" t="n">
        <v>6</v>
      </c>
      <c r="D9" s="57" t="n">
        <v>16</v>
      </c>
      <c r="E9" s="57">
        <f>'Jira Import'!I168</f>
        <v/>
      </c>
      <c r="F9" s="57">
        <f>'Jira Import'!J168</f>
        <v/>
      </c>
      <c r="G9" s="58">
        <f>F9/$C$18</f>
        <v/>
      </c>
      <c r="H9" s="59">
        <f>IFERROR(F9/$F$15,0)</f>
        <v/>
      </c>
    </row>
    <row r="10" ht="15" customHeight="1" s="37">
      <c r="A10" s="56" t="inlineStr">
        <is>
          <t>I</t>
        </is>
      </c>
      <c r="B10" s="56" t="inlineStr">
        <is>
          <t>AI utilities</t>
        </is>
      </c>
      <c r="C10" s="57" t="n">
        <v>4</v>
      </c>
      <c r="D10" s="57" t="n">
        <v>10</v>
      </c>
      <c r="E10" s="57">
        <f>'Jira Import'!I191</f>
        <v/>
      </c>
      <c r="F10" s="57">
        <f>'Jira Import'!J191</f>
        <v/>
      </c>
      <c r="G10" s="58">
        <f>F10/$C$18</f>
        <v/>
      </c>
      <c r="H10" s="59">
        <f>IFERROR(F10/$F$15,0)</f>
        <v/>
      </c>
    </row>
    <row r="11" ht="15" customHeight="1" s="37">
      <c r="A11" s="56" t="inlineStr">
        <is>
          <t>J</t>
        </is>
      </c>
      <c r="B11" s="56" t="inlineStr">
        <is>
          <t>Handbook &amp; acknowledgements</t>
        </is>
      </c>
      <c r="C11" s="57" t="n">
        <v>5</v>
      </c>
      <c r="D11" s="57" t="n">
        <v>10</v>
      </c>
      <c r="E11" s="57">
        <f>'Jira Import'!I206</f>
        <v/>
      </c>
      <c r="F11" s="57">
        <f>'Jira Import'!J206</f>
        <v/>
      </c>
      <c r="G11" s="58">
        <f>F11/$C$18</f>
        <v/>
      </c>
      <c r="H11" s="59">
        <f>IFERROR(F11/$F$15,0)</f>
        <v/>
      </c>
    </row>
    <row r="12" ht="15" customHeight="1" s="37">
      <c r="A12" s="56" t="inlineStr">
        <is>
          <t>K</t>
        </is>
      </c>
      <c r="B12" s="56" t="inlineStr">
        <is>
          <t>Billing &amp; plans</t>
        </is>
      </c>
      <c r="C12" s="57" t="n">
        <v>4</v>
      </c>
      <c r="D12" s="57" t="n">
        <v>11</v>
      </c>
      <c r="E12" s="57">
        <f>'Jira Import'!I222</f>
        <v/>
      </c>
      <c r="F12" s="57">
        <f>'Jira Import'!J222</f>
        <v/>
      </c>
      <c r="G12" s="58">
        <f>F12/$C$18</f>
        <v/>
      </c>
      <c r="H12" s="59">
        <f>IFERROR(F12/$F$15,0)</f>
        <v/>
      </c>
    </row>
    <row r="13" ht="15" customHeight="1" s="37">
      <c r="A13" s="56" t="inlineStr">
        <is>
          <t>L</t>
        </is>
      </c>
      <c r="B13" s="56" t="inlineStr">
        <is>
          <t>Analytics &amp; operations</t>
        </is>
      </c>
      <c r="C13" s="57" t="n">
        <v>4</v>
      </c>
      <c r="D13" s="57" t="n">
        <v>8</v>
      </c>
      <c r="E13" s="57">
        <f>'Jira Import'!I238</f>
        <v/>
      </c>
      <c r="F13" s="57">
        <f>'Jira Import'!J238</f>
        <v/>
      </c>
      <c r="G13" s="58">
        <f>F13/$C$18</f>
        <v/>
      </c>
      <c r="H13" s="59">
        <f>IFERROR(F13/$F$15,0)</f>
        <v/>
      </c>
    </row>
    <row r="14" ht="15" customHeight="1" s="37">
      <c r="A14" s="56" t="inlineStr">
        <is>
          <t>M</t>
        </is>
      </c>
      <c r="B14" s="56" t="inlineStr">
        <is>
          <t>Platform &amp; delivery</t>
        </is>
      </c>
      <c r="C14" s="57" t="n">
        <v>5</v>
      </c>
      <c r="D14" s="57" t="n">
        <v>17</v>
      </c>
      <c r="E14" s="57">
        <f>'Jira Import'!I251</f>
        <v/>
      </c>
      <c r="F14" s="57">
        <f>'Jira Import'!J251</f>
        <v/>
      </c>
      <c r="G14" s="58">
        <f>F14/$C$18</f>
        <v/>
      </c>
      <c r="H14" s="59">
        <f>IFERROR(F14/$F$15,0)</f>
        <v/>
      </c>
    </row>
    <row r="15" ht="15" customHeight="1" s="37">
      <c r="A15" s="60" t="n"/>
      <c r="B15" s="60" t="inlineStr">
        <is>
          <t>Total</t>
        </is>
      </c>
      <c r="C15" s="61">
        <f>SUM(C2:C14)</f>
        <v/>
      </c>
      <c r="D15" s="61">
        <f>SUM(D2:D14)</f>
        <v/>
      </c>
      <c r="E15" s="61">
        <f>SUM(E2:E14)</f>
        <v/>
      </c>
      <c r="F15" s="61">
        <f>SUM(F2:F14)</f>
        <v/>
      </c>
      <c r="G15" s="62">
        <f>F15/$C$18</f>
        <v/>
      </c>
      <c r="H15" s="63">
        <f>IFERROR(F15/$F$15,0)</f>
        <v/>
      </c>
    </row>
    <row r="16" ht="15" customHeight="1" s="37">
      <c r="A16" s="64" t="n"/>
      <c r="B16" s="64" t="n"/>
      <c r="C16" s="65" t="n"/>
      <c r="D16" s="65" t="n"/>
      <c r="E16" s="65" t="n"/>
      <c r="F16" s="65" t="n"/>
      <c r="G16" s="66" t="n"/>
      <c r="H16" s="67" t="n"/>
    </row>
    <row r="17" ht="15" customHeight="1" s="37">
      <c r="A17" s="64" t="n"/>
      <c r="B17" s="64" t="n"/>
      <c r="C17" s="65" t="n"/>
      <c r="D17" s="65" t="n"/>
      <c r="E17" s="65" t="n"/>
      <c r="F17" s="65" t="n"/>
      <c r="G17" s="66" t="n"/>
      <c r="H17" s="67" t="n"/>
    </row>
    <row r="18" ht="15" customHeight="1" s="37">
      <c r="A18" s="64" t="n"/>
      <c r="B18" s="64" t="inlineStr">
        <is>
          <t>Assumption — hours per working day</t>
        </is>
      </c>
      <c r="C18" s="68" t="n">
        <v>6</v>
      </c>
      <c r="D18" s="65" t="n"/>
      <c r="E18" s="65" t="n"/>
      <c r="F18" s="65" t="n"/>
      <c r="G18" s="66" t="n"/>
      <c r="H18" s="67" t="n"/>
    </row>
    <row r="19" ht="15" customHeight="1" s="37">
      <c r="A19" s="64" t="n"/>
      <c r="B19" s="64" t="inlineStr">
        <is>
          <t>Assumption — team capacity, developer-days per week</t>
        </is>
      </c>
      <c r="C19" s="68" t="n">
        <v>10</v>
      </c>
      <c r="D19" s="65" t="n"/>
      <c r="E19" s="65" t="n"/>
      <c r="F19" s="65" t="n"/>
      <c r="G19" s="66" t="n"/>
      <c r="H19" s="67" t="n"/>
    </row>
    <row r="20" ht="15" customHeight="1" s="37">
      <c r="A20" s="64" t="n"/>
      <c r="B20" s="69" t="inlineStr">
        <is>
          <t>Estimates are engineering hours only. They exclude discovery, design partner support, recruitment and holiday.</t>
        </is>
      </c>
      <c r="C20" s="65" t="n"/>
      <c r="D20" s="65" t="n"/>
      <c r="E20" s="65" t="n"/>
      <c r="F20" s="65" t="n"/>
      <c r="G20" s="66" t="n"/>
      <c r="H20" s="6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6" min="1" max="1"/>
    <col width="46" customWidth="1" style="36" min="2" max="2"/>
    <col width="9" customWidth="1" style="36" min="3" max="3"/>
    <col width="13" customWidth="1" style="36" min="4" max="5"/>
    <col width="15" customWidth="1" style="36" min="6" max="6"/>
    <col width="24" customWidth="1" style="36" min="7" max="7"/>
  </cols>
  <sheetData>
    <row r="1" ht="30" customHeight="1" s="37">
      <c r="A1" s="38" t="inlineStr">
        <is>
          <t>Milestone</t>
        </is>
      </c>
      <c r="B1" s="38" t="inlineStr">
        <is>
          <t>Focus</t>
        </is>
      </c>
      <c r="C1" s="38" t="inlineStr">
        <is>
          <t>Stories</t>
        </is>
      </c>
      <c r="D1" s="38" t="inlineStr">
        <is>
          <t>Story Points</t>
        </is>
      </c>
      <c r="E1" s="38" t="inlineStr">
        <is>
          <t>Estimate (h)</t>
        </is>
      </c>
      <c r="F1" s="38" t="inlineStr">
        <is>
          <t>Estimate (days)</t>
        </is>
      </c>
      <c r="G1" s="38" t="inlineStr">
        <is>
          <t>Elapsed weeks at capacity</t>
        </is>
      </c>
    </row>
    <row r="2" ht="15" customHeight="1" s="37">
      <c r="A2" s="56" t="inlineStr">
        <is>
          <t>M0 Foundation</t>
        </is>
      </c>
      <c r="B2" s="56" t="inlineStr">
        <is>
          <t>Auth, tenancy, editor, design system, CI</t>
        </is>
      </c>
      <c r="C2" s="57" t="n">
        <v>16</v>
      </c>
      <c r="D2" s="57">
        <f>SUMIFS('Jira Import'!I:I,'Jira Import'!L:L,A2,'Jira Import'!C:C,"Story")</f>
        <v/>
      </c>
      <c r="E2" s="57">
        <f>SUMIFS('Jira Import'!J:J,'Jira Import'!L:L,A2,'Jira Import'!C:C,"Story")</f>
        <v/>
      </c>
      <c r="F2" s="58">
        <f>E2/'Epic Summary'!$C$18</f>
        <v/>
      </c>
      <c r="G2" s="58">
        <f>F2/'Epic Summary'!$C$19</f>
        <v/>
      </c>
    </row>
    <row r="3" ht="15" customHeight="1" s="37">
      <c r="A3" s="56" t="inlineStr">
        <is>
          <t>M1 Prove the wedge</t>
        </is>
      </c>
      <c r="B3" s="56" t="inlineStr">
        <is>
          <t>Recording capture and AI SOP generation</t>
        </is>
      </c>
      <c r="C3" s="57" t="n">
        <v>11</v>
      </c>
      <c r="D3" s="57">
        <f>SUMIFS('Jira Import'!I:I,'Jira Import'!L:L,A3,'Jira Import'!C:C,"Story")</f>
        <v/>
      </c>
      <c r="E3" s="57">
        <f>SUMIFS('Jira Import'!J:J,'Jira Import'!L:L,A3,'Jira Import'!C:C,"Story")</f>
        <v/>
      </c>
      <c r="F3" s="58">
        <f>E3/'Epic Summary'!$C$18</f>
        <v/>
      </c>
      <c r="G3" s="58">
        <f>F3/'Epic Summary'!$C$19</f>
        <v/>
      </c>
    </row>
    <row r="4" ht="15" customHeight="1" s="37">
      <c r="A4" s="56" t="inlineStr">
        <is>
          <t>M2 Design partners</t>
        </is>
      </c>
      <c r="B4" s="56" t="inlineStr">
        <is>
          <t>Governance and permissions, 5 partners onboarded</t>
        </is>
      </c>
      <c r="C4" s="57" t="n">
        <v>9</v>
      </c>
      <c r="D4" s="57">
        <f>SUMIFS('Jira Import'!I:I,'Jira Import'!L:L,A4,'Jira Import'!C:C,"Story")</f>
        <v/>
      </c>
      <c r="E4" s="57">
        <f>SUMIFS('Jira Import'!J:J,'Jira Import'!L:L,A4,'Jira Import'!C:C,"Story")</f>
        <v/>
      </c>
      <c r="F4" s="58">
        <f>E4/'Epic Summary'!$C$18</f>
        <v/>
      </c>
      <c r="G4" s="58">
        <f>F4/'Epic Summary'!$C$19</f>
        <v/>
      </c>
    </row>
    <row r="5" ht="15" customHeight="1" s="37">
      <c r="A5" s="56" t="inlineStr">
        <is>
          <t>M3 Retrieval layer</t>
        </is>
      </c>
      <c r="B5" s="56" t="inlineStr">
        <is>
          <t>Search, chunking, chatbot with citations</t>
        </is>
      </c>
      <c r="C5" s="57" t="n">
        <v>12</v>
      </c>
      <c r="D5" s="57">
        <f>SUMIFS('Jira Import'!I:I,'Jira Import'!L:L,A5,'Jira Import'!C:C,"Story")</f>
        <v/>
      </c>
      <c r="E5" s="57">
        <f>SUMIFS('Jira Import'!J:J,'Jira Import'!L:L,A5,'Jira Import'!C:C,"Story")</f>
        <v/>
      </c>
      <c r="F5" s="58">
        <f>E5/'Epic Summary'!$C$18</f>
        <v/>
      </c>
      <c r="G5" s="58">
        <f>F5/'Epic Summary'!$C$19</f>
        <v/>
      </c>
    </row>
    <row r="6" ht="15" customHeight="1" s="37">
      <c r="A6" s="56" t="inlineStr">
        <is>
          <t>M4 Open paid tiers</t>
        </is>
      </c>
      <c r="B6" s="56" t="inlineStr">
        <is>
          <t>AI utilities, handbook, billing</t>
        </is>
      </c>
      <c r="C6" s="57" t="n">
        <v>13</v>
      </c>
      <c r="D6" s="57">
        <f>SUMIFS('Jira Import'!I:I,'Jira Import'!L:L,A6,'Jira Import'!C:C,"Story")</f>
        <v/>
      </c>
      <c r="E6" s="57">
        <f>SUMIFS('Jira Import'!J:J,'Jira Import'!L:L,A6,'Jira Import'!C:C,"Story")</f>
        <v/>
      </c>
      <c r="F6" s="58">
        <f>E6/'Epic Summary'!$C$18</f>
        <v/>
      </c>
      <c r="G6" s="58">
        <f>F6/'Epic Summary'!$C$19</f>
        <v/>
      </c>
    </row>
    <row r="7" ht="15" customHeight="1" s="37">
      <c r="A7" s="56" t="inlineStr">
        <is>
          <t>M5 Scale</t>
        </is>
      </c>
      <c r="B7" s="56" t="inlineStr">
        <is>
          <t>Analytics, review cadence, pipeline health</t>
        </is>
      </c>
      <c r="C7" s="57" t="n">
        <v>4</v>
      </c>
      <c r="D7" s="57">
        <f>SUMIFS('Jira Import'!I:I,'Jira Import'!L:L,A7,'Jira Import'!C:C,"Story")</f>
        <v/>
      </c>
      <c r="E7" s="57">
        <f>SUMIFS('Jira Import'!J:J,'Jira Import'!L:L,A7,'Jira Import'!C:C,"Story")</f>
        <v/>
      </c>
      <c r="F7" s="58">
        <f>E7/'Epic Summary'!$C$18</f>
        <v/>
      </c>
      <c r="G7" s="58">
        <f>F7/'Epic Summary'!$C$19</f>
        <v/>
      </c>
    </row>
    <row r="8" ht="15" customHeight="1" s="37">
      <c r="A8" s="60" t="n"/>
      <c r="B8" s="60" t="inlineStr">
        <is>
          <t>Total</t>
        </is>
      </c>
      <c r="C8" s="61">
        <f>SUM(C2:C7)</f>
        <v/>
      </c>
      <c r="D8" s="61">
        <f>SUM(D2:D7)</f>
        <v/>
      </c>
      <c r="E8" s="61">
        <f>SUM(E2:E7)</f>
        <v/>
      </c>
      <c r="F8" s="62">
        <f>SUM(F2:F7)</f>
        <v/>
      </c>
      <c r="G8" s="62">
        <f>SUM(G2:G7)</f>
        <v/>
      </c>
    </row>
    <row r="10" ht="15" customHeight="1" s="37">
      <c r="B10" s="70" t="inlineStr">
        <is>
          <t>Elapsed weeks assumes the capacity on Epic Summary and no parallelism between milestones. M2 and M3 overlap in the roadmap, so real elapsed time is shorter than this total.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36" min="1" max="1"/>
    <col width="10" customWidth="1" style="36" min="2" max="2"/>
    <col width="14" customWidth="1" style="36" min="3" max="3"/>
    <col width="12" customWidth="1" style="36" min="4" max="4"/>
  </cols>
  <sheetData>
    <row r="1" ht="30" customHeight="1" s="37">
      <c r="A1" s="38" t="inlineStr">
        <is>
          <t>Component</t>
        </is>
      </c>
      <c r="B1" s="38" t="inlineStr">
        <is>
          <t>Tasks</t>
        </is>
      </c>
      <c r="C1" s="38" t="inlineStr">
        <is>
          <t>Estimate (h)</t>
        </is>
      </c>
      <c r="D1" s="38" t="inlineStr">
        <is>
          <t>% of build</t>
        </is>
      </c>
    </row>
    <row r="2" ht="15" customHeight="1" s="37">
      <c r="A2" s="71" t="inlineStr">
        <is>
          <t>AI/Pipeline</t>
        </is>
      </c>
      <c r="B2" s="72">
        <f>COUNTIFS('Jira Import'!K:K,A2)</f>
        <v/>
      </c>
      <c r="C2" s="72">
        <f>SUMIFS('Jira Import'!J:J,'Jira Import'!K:K,A2)</f>
        <v/>
      </c>
      <c r="D2" s="73">
        <f>IFERROR(C2/$C$10,0)</f>
        <v/>
      </c>
    </row>
    <row r="3" ht="15" customHeight="1" s="37">
      <c r="A3" s="71" t="inlineStr">
        <is>
          <t>Backend</t>
        </is>
      </c>
      <c r="B3" s="72">
        <f>COUNTIFS('Jira Import'!K:K,A3)</f>
        <v/>
      </c>
      <c r="C3" s="72">
        <f>SUMIFS('Jira Import'!J:J,'Jira Import'!K:K,A3)</f>
        <v/>
      </c>
      <c r="D3" s="73">
        <f>IFERROR(C3/$C$10,0)</f>
        <v/>
      </c>
    </row>
    <row r="4" ht="15" customHeight="1" s="37">
      <c r="A4" s="71" t="inlineStr">
        <is>
          <t>Database</t>
        </is>
      </c>
      <c r="B4" s="72">
        <f>COUNTIFS('Jira Import'!K:K,A4)</f>
        <v/>
      </c>
      <c r="C4" s="72">
        <f>SUMIFS('Jira Import'!J:J,'Jira Import'!K:K,A4)</f>
        <v/>
      </c>
      <c r="D4" s="73">
        <f>IFERROR(C4/$C$10,0)</f>
        <v/>
      </c>
    </row>
    <row r="5" ht="15" customHeight="1" s="37">
      <c r="A5" s="71" t="inlineStr">
        <is>
          <t>Design</t>
        </is>
      </c>
      <c r="B5" s="72">
        <f>COUNTIFS('Jira Import'!K:K,A5)</f>
        <v/>
      </c>
      <c r="C5" s="72">
        <f>SUMIFS('Jira Import'!J:J,'Jira Import'!K:K,A5)</f>
        <v/>
      </c>
      <c r="D5" s="73">
        <f>IFERROR(C5/$C$10,0)</f>
        <v/>
      </c>
    </row>
    <row r="6" ht="15" customHeight="1" s="37">
      <c r="A6" s="71" t="inlineStr">
        <is>
          <t>Frontend</t>
        </is>
      </c>
      <c r="B6" s="72">
        <f>COUNTIFS('Jira Import'!K:K,A6)</f>
        <v/>
      </c>
      <c r="C6" s="72">
        <f>SUMIFS('Jira Import'!J:J,'Jira Import'!K:K,A6)</f>
        <v/>
      </c>
      <c r="D6" s="73">
        <f>IFERROR(C6/$C$10,0)</f>
        <v/>
      </c>
    </row>
    <row r="7" ht="15" customHeight="1" s="37">
      <c r="A7" s="71" t="inlineStr">
        <is>
          <t>Full stack</t>
        </is>
      </c>
      <c r="B7" s="72">
        <f>COUNTIFS('Jira Import'!K:K,A7)</f>
        <v/>
      </c>
      <c r="C7" s="72">
        <f>SUMIFS('Jira Import'!J:J,'Jira Import'!K:K,A7)</f>
        <v/>
      </c>
      <c r="D7" s="73">
        <f>IFERROR(C7/$C$10,0)</f>
        <v/>
      </c>
    </row>
    <row r="8" ht="15" customHeight="1" s="37">
      <c r="A8" s="71" t="inlineStr">
        <is>
          <t>Infra</t>
        </is>
      </c>
      <c r="B8" s="72">
        <f>COUNTIFS('Jira Import'!K:K,A8)</f>
        <v/>
      </c>
      <c r="C8" s="72">
        <f>SUMIFS('Jira Import'!J:J,'Jira Import'!K:K,A8)</f>
        <v/>
      </c>
      <c r="D8" s="73">
        <f>IFERROR(C8/$C$10,0)</f>
        <v/>
      </c>
    </row>
    <row r="9" ht="15" customHeight="1" s="37">
      <c r="A9" s="71" t="inlineStr">
        <is>
          <t>QA</t>
        </is>
      </c>
      <c r="B9" s="72">
        <f>COUNTIFS('Jira Import'!K:K,A9)</f>
        <v/>
      </c>
      <c r="C9" s="72">
        <f>SUMIFS('Jira Import'!J:J,'Jira Import'!K:K,A9)</f>
        <v/>
      </c>
      <c r="D9" s="73">
        <f>IFERROR(C9/$C$10,0)</f>
        <v/>
      </c>
    </row>
    <row r="10" ht="15" customHeight="1" s="37">
      <c r="A10" s="74" t="inlineStr">
        <is>
          <t>Total</t>
        </is>
      </c>
      <c r="B10" s="75">
        <f>SUM(B2:B9)</f>
        <v/>
      </c>
      <c r="C10" s="75">
        <f>SUM(C2:C9)</f>
        <v/>
      </c>
      <c r="D10" s="76">
        <f>IFERROR(C10/$C$10,0)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36" min="1" max="1"/>
    <col width="92" customWidth="1" style="36" min="2" max="2"/>
  </cols>
  <sheetData>
    <row r="1" ht="15" customHeight="1" s="37">
      <c r="A1" s="77" t="inlineStr">
        <is>
          <t>How to import this into Jira</t>
        </is>
      </c>
      <c r="B1" s="78" t="n"/>
    </row>
    <row r="2" ht="15" customHeight="1" s="37">
      <c r="A2" s="79" t="n"/>
      <c r="B2" s="78" t="n"/>
    </row>
    <row r="3" ht="15" customHeight="1" s="37">
      <c r="A3" s="79" t="inlineStr">
        <is>
          <t>1</t>
        </is>
      </c>
      <c r="B3" s="78" t="inlineStr">
        <is>
          <t>Save the 'Jira Import' sheet as CSV (File &gt; Save As &gt; CSV, that sheet only).</t>
        </is>
      </c>
    </row>
    <row r="4" ht="15" customHeight="1" s="37">
      <c r="A4" s="79" t="inlineStr">
        <is>
          <t>2</t>
        </is>
      </c>
      <c r="B4" s="78" t="inlineStr">
        <is>
          <t>In Jira: Settings &gt; System &gt; External System Import &gt; CSV.</t>
        </is>
      </c>
    </row>
    <row r="5" ht="15" customHeight="1" s="37">
      <c r="A5" s="79" t="inlineStr">
        <is>
          <t>3</t>
        </is>
      </c>
      <c r="B5" s="78" t="inlineStr">
        <is>
          <t>Upload the CSV. On the field-mapping screen, map the columns as below.</t>
        </is>
      </c>
    </row>
    <row r="6" ht="15" customHeight="1" s="37">
      <c r="A6" s="79" t="inlineStr">
        <is>
          <t>4</t>
        </is>
      </c>
      <c r="B6" s="78" t="inlineStr">
        <is>
          <t>Tick 'Map field value' for Priority if your scheme uses different names.</t>
        </is>
      </c>
    </row>
    <row r="7" ht="23.85" customHeight="1" s="37">
      <c r="A7" s="79" t="inlineStr">
        <is>
          <t>5</t>
        </is>
      </c>
      <c r="B7" s="78" t="inlineStr">
        <is>
          <t>Import epics and stories first if your Jira rejects sub-tasks in one pass — filter Issue Type, import in two runs, then re-run with sub-tasks.</t>
        </is>
      </c>
    </row>
    <row r="8" ht="15" customHeight="1" s="37">
      <c r="A8" s="79" t="n"/>
      <c r="B8" s="78" t="n"/>
    </row>
    <row r="9" ht="15" customHeight="1" s="37">
      <c r="A9" s="77" t="inlineStr">
        <is>
          <t>Column</t>
        </is>
      </c>
      <c r="B9" s="78" t="inlineStr">
        <is>
          <t>Maps to</t>
        </is>
      </c>
    </row>
    <row r="10" ht="15" customHeight="1" s="37">
      <c r="A10" s="79" t="inlineStr">
        <is>
          <t>Issue ID</t>
        </is>
      </c>
      <c r="B10" s="78" t="inlineStr">
        <is>
          <t>Issue ID (used only to link parents during import)</t>
        </is>
      </c>
    </row>
    <row r="11" ht="15" customHeight="1" s="37">
      <c r="A11" s="79" t="inlineStr">
        <is>
          <t>Parent ID</t>
        </is>
      </c>
      <c r="B11" s="78" t="inlineStr">
        <is>
          <t>Parent ID</t>
        </is>
      </c>
    </row>
    <row r="12" ht="15" customHeight="1" s="37">
      <c r="A12" s="79" t="inlineStr">
        <is>
          <t>Issue Type</t>
        </is>
      </c>
      <c r="B12" s="78" t="inlineStr">
        <is>
          <t>Issue Type</t>
        </is>
      </c>
    </row>
    <row r="13" ht="15" customHeight="1" s="37">
      <c r="A13" s="79" t="inlineStr">
        <is>
          <t>Summary</t>
        </is>
      </c>
      <c r="B13" s="78" t="inlineStr">
        <is>
          <t>Summary</t>
        </is>
      </c>
    </row>
    <row r="14" ht="15" customHeight="1" s="37">
      <c r="A14" s="79" t="inlineStr">
        <is>
          <t>Description</t>
        </is>
      </c>
      <c r="B14" s="78" t="inlineStr">
        <is>
          <t>Description</t>
        </is>
      </c>
    </row>
    <row r="15" ht="15" customHeight="1" s="37">
      <c r="A15" s="79" t="inlineStr">
        <is>
          <t>Epic Name</t>
        </is>
      </c>
      <c r="B15" s="78" t="inlineStr">
        <is>
          <t>Epic Name (epics only)</t>
        </is>
      </c>
    </row>
    <row r="16" ht="15" customHeight="1" s="37">
      <c r="A16" s="79" t="inlineStr">
        <is>
          <t>Epic Link</t>
        </is>
      </c>
      <c r="B16" s="78" t="inlineStr">
        <is>
          <t>Epic Link (stories only)</t>
        </is>
      </c>
    </row>
    <row r="17" ht="15" customHeight="1" s="37">
      <c r="A17" s="79" t="inlineStr">
        <is>
          <t>Priority</t>
        </is>
      </c>
      <c r="B17" s="78" t="inlineStr">
        <is>
          <t>Priority</t>
        </is>
      </c>
    </row>
    <row r="18" ht="15" customHeight="1" s="37">
      <c r="A18" s="79" t="inlineStr">
        <is>
          <t>Story Points</t>
        </is>
      </c>
      <c r="B18" s="78" t="inlineStr">
        <is>
          <t>Story Points (custom field)</t>
        </is>
      </c>
    </row>
    <row r="19" ht="15" customHeight="1" s="37">
      <c r="A19" s="79" t="inlineStr">
        <is>
          <t>Original Estimate (h)</t>
        </is>
      </c>
      <c r="B19" s="78" t="inlineStr">
        <is>
          <t>Original Estimate — append 'h' or set the unit to hours</t>
        </is>
      </c>
    </row>
    <row r="20" ht="15" customHeight="1" s="37">
      <c r="A20" s="79" t="inlineStr">
        <is>
          <t>Component</t>
        </is>
      </c>
      <c r="B20" s="78" t="inlineStr">
        <is>
          <t>Component/s — create these in the project first</t>
        </is>
      </c>
    </row>
    <row r="21" ht="15" customHeight="1" s="37">
      <c r="A21" s="79" t="inlineStr">
        <is>
          <t>Milestone</t>
        </is>
      </c>
      <c r="B21" s="78" t="inlineStr">
        <is>
          <t>Sprint, Fix Version, or a custom field, whichever you use</t>
        </is>
      </c>
    </row>
    <row r="22" ht="15" customHeight="1" s="37">
      <c r="A22" s="79" t="inlineStr">
        <is>
          <t>Labels</t>
        </is>
      </c>
      <c r="B22" s="78" t="inlineStr">
        <is>
          <t>Labels</t>
        </is>
      </c>
    </row>
    <row r="23" ht="15" customHeight="1" s="37">
      <c r="A23" s="79" t="n"/>
      <c r="B23" s="78" t="n"/>
    </row>
    <row r="24" ht="15" customHeight="1" s="37">
      <c r="A24" s="77" t="inlineStr">
        <is>
          <t>Estimating basis</t>
        </is>
      </c>
      <c r="B24" s="78" t="n"/>
    </row>
    <row r="25" ht="15" customHeight="1" s="37">
      <c r="A25" s="79" t="inlineStr">
        <is>
          <t>Story points</t>
        </is>
      </c>
      <c r="B25" s="78" t="inlineStr">
        <is>
          <t>Carried from the product backlog document. They size relative complexity and are not converted from hours.</t>
        </is>
      </c>
    </row>
    <row r="26" ht="23.85" customHeight="1" s="37">
      <c r="A26" s="79" t="inlineStr">
        <is>
          <t>Task hours</t>
        </is>
      </c>
      <c r="B26" s="78" t="inlineStr">
        <is>
          <t>Estimated per task, independently of points. Story hours are the sum of their sub-tasks, so points and hours are two separate views and will not correlate perfectly — that is intentional.</t>
        </is>
      </c>
    </row>
    <row r="27" ht="23.85" customHeight="1" s="37">
      <c r="A27" s="79" t="inlineStr">
        <is>
          <t>Excluded</t>
        </is>
      </c>
      <c r="B27" s="78" t="inlineStr">
        <is>
          <t>Discovery, design-partner recruitment and support, project management, holiday, onboarding and rework after user feedback.</t>
        </is>
      </c>
    </row>
    <row r="28" ht="35.05" customHeight="1" s="37">
      <c r="A28" s="79" t="inlineStr">
        <is>
          <t>Confidence</t>
        </is>
      </c>
      <c r="B28" s="78" t="inlineStr">
        <is>
          <t>Epics A, B, C, E, F, J, K and M are conventional work and estimate reliably. Epic D (generation) and Epic G/H (retrieval) contain genuine research risk — treat those hours as a first pass to be revised after the first ten real recordings.</t>
        </is>
      </c>
    </row>
    <row r="29" ht="15" customHeight="1" s="37">
      <c r="A29" s="79" t="n"/>
      <c r="B29" s="78" t="n"/>
    </row>
    <row r="30" ht="15" customHeight="1" s="37">
      <c r="A30" s="77" t="inlineStr">
        <is>
          <t>Known correction</t>
        </is>
      </c>
      <c r="B30" s="78" t="n"/>
    </row>
    <row r="31" ht="35.05" customHeight="1" s="37">
      <c r="A31" s="79" t="inlineStr">
        <is>
          <t>Epic B total</t>
        </is>
      </c>
      <c r="B31" s="78" t="inlineStr">
        <is>
          <t>The product backlog document listed Epic B as 34 points. The stories in it actually sum to 40, and the backlog total is 367 rather than 361. This workbook uses the corrected figures and the backlog document has been updated to match.</t>
        </is>
      </c>
    </row>
    <row r="32" ht="15" customHeight="1" s="37">
      <c r="A32" s="79" t="n"/>
      <c r="B32" s="78" t="n"/>
    </row>
    <row r="33" ht="23.85" customHeight="1" s="37">
      <c r="A33" s="77" t="inlineStr">
        <is>
          <t>Epic M is new</t>
        </is>
      </c>
      <c r="B33" s="78" t="inlineStr">
        <is>
          <t>Design system, CI/CD, environments and observability were not in the original backlog. They are prerequisites rather than overhead, so they are estimated here.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2026-09-16T05:19:01Z</dcterms:created>
  <dcterms:modified xmlns:dcterms="http://purl.org/dc/terms/" xmlns:xsi="http://www.w3.org/2001/XMLSchema-instance" xsi:type="dcterms:W3CDTF">2026-09-23T09:16:40Z</dcterms:modified>
  <cp:revision>0</cp:revision>
</cp:coreProperties>
</file>